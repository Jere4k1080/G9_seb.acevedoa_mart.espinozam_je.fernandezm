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  <sheet state="visible" name="Calendario" sheetId="2" r:id="rId5"/>
    <sheet state="visible" name="Iteraciones" sheetId="3" r:id="rId6"/>
    <sheet state="visible" name="Diagrama Gantt" sheetId="4" r:id="rId7"/>
    <sheet state="visible" name="Diagrama EDT" sheetId="5" r:id="rId8"/>
    <sheet state="visible" name="Linea de Tiempo" sheetId="6" r:id="rId9"/>
  </sheets>
  <definedNames/>
  <calcPr/>
  <extLst>
    <ext uri="GoogleSheetsCustomDataVersion2">
      <go:sheetsCustomData xmlns:go="http://customooxmlschemas.google.com/" r:id="rId10" roundtripDataChecksum="W9fMGlmOb0ZpimqyDWBcXyOXX0u/1aoZNlCLGVzeqZE="/>
    </ext>
  </extLst>
</workbook>
</file>

<file path=xl/sharedStrings.xml><?xml version="1.0" encoding="utf-8"?>
<sst xmlns="http://schemas.openxmlformats.org/spreadsheetml/2006/main" count="432" uniqueCount="255">
  <si>
    <t>CALENDARIO ACADÉMICO Y DE ITERACIONES</t>
  </si>
  <si>
    <t>Fuente: cronograma oficial de la sección CAPSTONE_002D. Semana 1 desde el 10/08/2026.</t>
  </si>
  <si>
    <t>Semana</t>
  </si>
  <si>
    <t>Desde</t>
  </si>
  <si>
    <t>Hasta</t>
  </si>
  <si>
    <t>Fase</t>
  </si>
  <si>
    <t>Iteración</t>
  </si>
  <si>
    <t>Hito evaluativo</t>
  </si>
  <si>
    <t>10/08/2026</t>
  </si>
  <si>
    <t>15/08/2026</t>
  </si>
  <si>
    <t>Fase 1 · Definición</t>
  </si>
  <si>
    <t>CARTA GANTT - MÓDULO DE PREGUNTAS - APP MÓVIL APRUEBA</t>
  </si>
  <si>
    <t>PTY4614 Capstone · Sección 002D · Grupo 9 · Duoc UC San Bernardo    |    Empresa contraparte: Alloxentric    |    Metodología: Extreme Programming</t>
  </si>
  <si>
    <t>17/08/2026</t>
  </si>
  <si>
    <t>Semana 1: 10/08/2026    |    Semana 18: 12/12/2026    |    Diez iteraciones semanales agrupadas en tres entregas funcionales</t>
  </si>
  <si>
    <t>22/08/2026</t>
  </si>
  <si>
    <t>EDT · paquetes</t>
  </si>
  <si>
    <t>24/08/2026</t>
  </si>
  <si>
    <t>PLAN DE ITERACIONES - EXTREME PROGRAMMING</t>
  </si>
  <si>
    <t>29/08/2026</t>
  </si>
  <si>
    <t>Actividad</t>
  </si>
  <si>
    <t>Responsable</t>
  </si>
  <si>
    <t>31/08/2026</t>
  </si>
  <si>
    <t>Diez iteraciones semanales agrupadas en tres entregas funcionales. Al inicio de cada iteración: juego de planificación. Al cierre: validación con el cliente y reflexión.</t>
  </si>
  <si>
    <t>05/09/2026</t>
  </si>
  <si>
    <t>FASE 1 · Definición</t>
  </si>
  <si>
    <t>Entrega documentación</t>
  </si>
  <si>
    <t>Fechas</t>
  </si>
  <si>
    <t>FASE 2 · Desarrollo</t>
  </si>
  <si>
    <t>Contenido</t>
  </si>
  <si>
    <t>Foco</t>
  </si>
  <si>
    <t>07/09/2026</t>
  </si>
  <si>
    <t>12/09/2026</t>
  </si>
  <si>
    <t>Entrega funcional</t>
  </si>
  <si>
    <t>FASE 3 · Cierre</t>
  </si>
  <si>
    <t>Fase 1 y 2 (traslape)</t>
  </si>
  <si>
    <t>Iteración 1</t>
  </si>
  <si>
    <t>Exposición Fase 1</t>
  </si>
  <si>
    <t>S1</t>
  </si>
  <si>
    <t>S5</t>
  </si>
  <si>
    <t>S2</t>
  </si>
  <si>
    <t>07/09 al 12/09/2026</t>
  </si>
  <si>
    <t>S3</t>
  </si>
  <si>
    <t>Entorno Flutter y backend operativos en los tres equipos</t>
  </si>
  <si>
    <t>S4</t>
  </si>
  <si>
    <t>Equipo completo</t>
  </si>
  <si>
    <t>S6</t>
  </si>
  <si>
    <t>S7</t>
  </si>
  <si>
    <t>14/09/2026</t>
  </si>
  <si>
    <t>S8</t>
  </si>
  <si>
    <t>S9</t>
  </si>
  <si>
    <t>19/09/2026</t>
  </si>
  <si>
    <t>S10</t>
  </si>
  <si>
    <t>Iteración 2</t>
  </si>
  <si>
    <t>S11</t>
  </si>
  <si>
    <t>Fase 2 · Desarrollo</t>
  </si>
  <si>
    <t>S12</t>
  </si>
  <si>
    <t>S13</t>
  </si>
  <si>
    <t>14/09 al 19/09/2026</t>
  </si>
  <si>
    <t>Modelo de datos en Firestore, esquema local y modelos de dominio con pruebas</t>
  </si>
  <si>
    <t>Jeremías / Sebastián</t>
  </si>
  <si>
    <t>Iteración 3</t>
  </si>
  <si>
    <t>21/09/2026</t>
  </si>
  <si>
    <t>26/09/2026</t>
  </si>
  <si>
    <t>S14</t>
  </si>
  <si>
    <t>S15</t>
  </si>
  <si>
    <t>S16</t>
  </si>
  <si>
    <t>S17</t>
  </si>
  <si>
    <t>21/09 al 26/09/2026</t>
  </si>
  <si>
    <t>S18</t>
  </si>
  <si>
    <t>Servicios de práctica, configuración y sesión; pantalla Pregunta</t>
  </si>
  <si>
    <t>10/08</t>
  </si>
  <si>
    <t>28/09/2026</t>
  </si>
  <si>
    <t>03/10/2026</t>
  </si>
  <si>
    <t>Entrega 1</t>
  </si>
  <si>
    <t>17/08</t>
  </si>
  <si>
    <t>Iteración 4</t>
  </si>
  <si>
    <t>24/08</t>
  </si>
  <si>
    <t>31/08</t>
  </si>
  <si>
    <t>07/09</t>
  </si>
  <si>
    <t>14/09</t>
  </si>
  <si>
    <t>21/09</t>
  </si>
  <si>
    <t>05/10/2026</t>
  </si>
  <si>
    <t>28/09</t>
  </si>
  <si>
    <t>05/10</t>
  </si>
  <si>
    <t>10/10/2026</t>
  </si>
  <si>
    <t>12/10</t>
  </si>
  <si>
    <t>19/10</t>
  </si>
  <si>
    <t>28/09 al 03/10/2026</t>
  </si>
  <si>
    <t>26/10</t>
  </si>
  <si>
    <t>02/11</t>
  </si>
  <si>
    <t>Iteración 5</t>
  </si>
  <si>
    <t>09/11</t>
  </si>
  <si>
    <t>Registro de respuesta; pantalla Resultado</t>
  </si>
  <si>
    <t>16/11</t>
  </si>
  <si>
    <t>23/11</t>
  </si>
  <si>
    <t>12/10/2026</t>
  </si>
  <si>
    <t>30/11</t>
  </si>
  <si>
    <t>07/12</t>
  </si>
  <si>
    <t>17/10/2026</t>
  </si>
  <si>
    <t>1.1</t>
  </si>
  <si>
    <t>05/10 al 10/10/2026</t>
  </si>
  <si>
    <t>Iteración 6</t>
  </si>
  <si>
    <t>GESTIÓN DEL PROYECTO</t>
  </si>
  <si>
    <t>Informe de Avance</t>
  </si>
  <si>
    <t>Explicación detallada</t>
  </si>
  <si>
    <t>19/10/2026</t>
  </si>
  <si>
    <t>24/10/2026</t>
  </si>
  <si>
    <t>12/10 al 17/10/2026</t>
  </si>
  <si>
    <t>Habilidad y ruta de aprendizaje</t>
  </si>
  <si>
    <t>Iteración 7</t>
  </si>
  <si>
    <t>Entrega 2</t>
  </si>
  <si>
    <t>26/10/2026</t>
  </si>
  <si>
    <t>31/10/2026</t>
  </si>
  <si>
    <t>19/10 al 24/10/2026</t>
  </si>
  <si>
    <t>Cuota diaria escalonada y pantalla de desbloqueo</t>
  </si>
  <si>
    <t>1.1.1</t>
  </si>
  <si>
    <t>Plan de gestión y tablero de trabajo</t>
  </si>
  <si>
    <t>Iteración 8</t>
  </si>
  <si>
    <t>Martin Espinoza</t>
  </si>
  <si>
    <t>Transversal</t>
  </si>
  <si>
    <t>26/10 al 31/10/2026</t>
  </si>
  <si>
    <t>02/11/2026</t>
  </si>
  <si>
    <t>Recorrección: envío y consulta de estado</t>
  </si>
  <si>
    <t>07/11/2026</t>
  </si>
  <si>
    <t>Iteración 9</t>
  </si>
  <si>
    <t>02/11 al 07/11/2026</t>
  </si>
  <si>
    <t>Caché sin conexión y progreso por prueba</t>
  </si>
  <si>
    <t>09/11/2026</t>
  </si>
  <si>
    <t>Sebastián Acevedo</t>
  </si>
  <si>
    <t>14/11/2026</t>
  </si>
  <si>
    <t>Iteración 10</t>
  </si>
  <si>
    <t>1.1.2</t>
  </si>
  <si>
    <t>Prácticas y ceremonias XP</t>
  </si>
  <si>
    <t>09/11 al 14/11/2026</t>
  </si>
  <si>
    <t>16/11/2026</t>
  </si>
  <si>
    <t>Pruebas de integración, análisis estático, Docker y compilación</t>
  </si>
  <si>
    <t>21/11/2026</t>
  </si>
  <si>
    <t>Entrega 3</t>
  </si>
  <si>
    <t>Informe Final</t>
  </si>
  <si>
    <t>23/11/2026</t>
  </si>
  <si>
    <t>28/11/2026</t>
  </si>
  <si>
    <t>1.1.3</t>
  </si>
  <si>
    <t>Bitácora de supuestos y decisiones</t>
  </si>
  <si>
    <t>Fase 3 · Cierre</t>
  </si>
  <si>
    <t>30/11/2026</t>
  </si>
  <si>
    <t>05/12/2026</t>
  </si>
  <si>
    <t>Comisión evaluadora</t>
  </si>
  <si>
    <t>1.1.4</t>
  </si>
  <si>
    <t>Evidencias académicas individuales</t>
  </si>
  <si>
    <t>Cada integrante</t>
  </si>
  <si>
    <t>07/12/2026</t>
  </si>
  <si>
    <t>12/12/2026</t>
  </si>
  <si>
    <t>Presentación a empresas</t>
  </si>
  <si>
    <t>1.2</t>
  </si>
  <si>
    <t>DEFINICIÓN DEL PROYECTO</t>
  </si>
  <si>
    <t>1.2.1.1</t>
  </si>
  <si>
    <t>Acta de Constitución del Proyecto</t>
  </si>
  <si>
    <t>Fase 1</t>
  </si>
  <si>
    <t>1.2.1.2</t>
  </si>
  <si>
    <t>Product Vision Statement</t>
  </si>
  <si>
    <t>1.2.1.3</t>
  </si>
  <si>
    <t>Registro de interesados</t>
  </si>
  <si>
    <t>Jeremías Fernández</t>
  </si>
  <si>
    <t>1.2.2.1</t>
  </si>
  <si>
    <t>Enunciado de Alcance Preliminar</t>
  </si>
  <si>
    <t>1.2.2.2</t>
  </si>
  <si>
    <t>EDT y diccionario</t>
  </si>
  <si>
    <t>1.2.2.3</t>
  </si>
  <si>
    <t>Lista de historias de usuario priorizada</t>
  </si>
  <si>
    <t>1.2.2.4</t>
  </si>
  <si>
    <t>Documento de Requerimientos (SRS)</t>
  </si>
  <si>
    <t>1.2.2.5</t>
  </si>
  <si>
    <t>Cronograma preliminar (Carta Gantt)</t>
  </si>
  <si>
    <t>1.2.3.1</t>
  </si>
  <si>
    <t>Definición de tecnologías</t>
  </si>
  <si>
    <t>GANTT GRÁFICO - MÓDULO DE PREGUNTAS - APP MÓVIL APRUEBA</t>
  </si>
  <si>
    <t>1.2.3.2</t>
  </si>
  <si>
    <t>Diagrama de arquitectura</t>
  </si>
  <si>
    <t>Fecha base (Semana 1)</t>
  </si>
  <si>
    <t>1.2.3.3</t>
  </si>
  <si>
    <t>Repositorio GitHub configurado</t>
  </si>
  <si>
    <t xml:space="preserve"> inicio (días)</t>
  </si>
  <si>
    <t>Duración (días)</t>
  </si>
  <si>
    <t>Inicio</t>
  </si>
  <si>
    <t>Fin</t>
  </si>
  <si>
    <t>Sem inicio</t>
  </si>
  <si>
    <t>Sem fin</t>
  </si>
  <si>
    <t>1.2.4.1</t>
  </si>
  <si>
    <t>Exposición de Fase 1</t>
  </si>
  <si>
    <t>1.3</t>
  </si>
  <si>
    <t>DESARROLLO DEL MÓDULO</t>
  </si>
  <si>
    <t>Gestión</t>
  </si>
  <si>
    <t>1.3.1.1 · 1.3.1.2</t>
  </si>
  <si>
    <t>Iteración 1 · Entorno de desarrollo móvil y backend</t>
  </si>
  <si>
    <t>Fase 2</t>
  </si>
  <si>
    <t>1.3.2.1 a 1.3.2.3</t>
  </si>
  <si>
    <t>Iteración 2 · Modelo de datos, esquema local y modelos de dominio</t>
  </si>
  <si>
    <t>1.3.3.1 · 1.3.3.4
1.3.4.1 · 1.3.5.1</t>
  </si>
  <si>
    <t>Iteración 3 · Servicios de práctica y configuración, pantalla Pregunta, manejo de sesión</t>
  </si>
  <si>
    <t>→ ENTREGA FUNCIONAL 1</t>
  </si>
  <si>
    <t>1.3.3.1 · 1.3.4.2</t>
  </si>
  <si>
    <t>Iteración 4 · Registro de respuesta y pantalla Resultado</t>
  </si>
  <si>
    <t>1.3.3.1 · 1.3.4.3</t>
  </si>
  <si>
    <t>Iteración 5 · Explicación detallada</t>
  </si>
  <si>
    <t>1.3.3.1 · 1.3.4.4</t>
  </si>
  <si>
    <t>Iteración 6 · Habilidad y ruta de aprendizaje</t>
  </si>
  <si>
    <t>Hito</t>
  </si>
  <si>
    <t>Iteración 1 · Entorno de desarrollo</t>
  </si>
  <si>
    <t>→ ENTREGA FUNCIONAL 2</t>
  </si>
  <si>
    <t>Iteración 2 · Modelo de datos</t>
  </si>
  <si>
    <t>Iteración 3 · Servicios y pantalla Pregunta</t>
  </si>
  <si>
    <t>1.3.7.1</t>
  </si>
  <si>
    <t>DIAGRAMA EDT / WBS - MÓDULO DE PREGUNTAS - APP MÓVIL APRUEBA</t>
  </si>
  <si>
    <t>1.3.3.2 · 1.3.4.6</t>
  </si>
  <si>
    <t>Iteración 4 · Registro de respuesta y Resultado</t>
  </si>
  <si>
    <t>Iteración 7 · Cuota diaria y pantalla de desbloqueo</t>
  </si>
  <si>
    <t>1.3.3.3 · 1.3.4.5</t>
  </si>
  <si>
    <t>Iteración 8 · Recorrección</t>
  </si>
  <si>
    <t>1.3.3.4 · 1.3.5.2</t>
  </si>
  <si>
    <t>Iteración 9 · Caché sin conexión y progreso</t>
  </si>
  <si>
    <t>Iteración 7 · Cuota diaria y desbloqueo</t>
  </si>
  <si>
    <t>1.3.6.2 · 1.3.6.3 · 1.3.6.4</t>
  </si>
  <si>
    <t>Iteración 10 · Pruebas de integración, análisis estático, Docker y compilación</t>
  </si>
  <si>
    <t>LÍNEA DE TIEMPO - FASES, ITERACIONES E HITOS - MÓDULO DE PREGUNTAS</t>
  </si>
  <si>
    <t>→ ENTREGA FUNCIONAL 3</t>
  </si>
  <si>
    <t>Iteración 10 · Pruebas, Docker y compilación</t>
  </si>
  <si>
    <t>18 semanas · 10/08/2026 al 12/12/2026 · Metodología Extreme Programming · Grupo 9</t>
  </si>
  <si>
    <t>1.3.6.1</t>
  </si>
  <si>
    <t>Pruebas unitarias (se escriben antes del código, en cada iteración)</t>
  </si>
  <si>
    <t>Fase 1 (S1–S4) · Fase 2 (S5–S15, 10 iteraciones entre S5 y S14) · Fase 3 (S16–S18) · Gestión del proyecto transversal · Rojo = hito evaluativo o entrega funcional</t>
  </si>
  <si>
    <t>Pruebas unitarias (TDD en cada iteración)</t>
  </si>
  <si>
    <t>1.3.7.2</t>
  </si>
  <si>
    <t>Documentación final y manual técnico</t>
  </si>
  <si>
    <t>1.4</t>
  </si>
  <si>
    <t>CIERRE Y PRESENTACIÓN</t>
  </si>
  <si>
    <t>Fase 3</t>
  </si>
  <si>
    <t>Demostración funcional y ensayo</t>
  </si>
  <si>
    <t>Presentación ante comisión evaluadora</t>
  </si>
  <si>
    <t>1.4.1</t>
  </si>
  <si>
    <t>Presentación a empresas vinculadas</t>
  </si>
  <si>
    <t>LEYENDA</t>
  </si>
  <si>
    <t>1.4.2</t>
  </si>
  <si>
    <t>Gestión del proyecto (transversal)</t>
  </si>
  <si>
    <t>Fase 1 · Definición (S1–S4)</t>
  </si>
  <si>
    <t>Fase 2 · Desarrollo (S5–S15)</t>
  </si>
  <si>
    <t>1.4.3</t>
  </si>
  <si>
    <t>Fase 3 · Cierre (S16–S18)</t>
  </si>
  <si>
    <t>Hito evaluativo / entrega funcional</t>
  </si>
  <si>
    <t>1.4.4</t>
  </si>
  <si>
    <t>Gestión del proyecto (transversal a las 18 semanas)</t>
  </si>
  <si>
    <t>Fase 1 · Definición del proyecto (semanas 1 a 4; la exposición se rinde en la semana 5)</t>
  </si>
  <si>
    <t>Fase 2 · Desarrollo del módulo (semanas 5 a 15; diez iteraciones entre la 5 y la 14)</t>
  </si>
  <si>
    <t>Fase 3 · Cierre y presentación (semanas 16 a 18)</t>
  </si>
  <si>
    <t>Hito evaluativo o entrega funcional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</si>
</sst>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2">
    <font>
      <sz val="11.0"/>
      <color theme="1"/>
      <name val="Calibri"/>
      <scheme val="minor"/>
    </font>
    <font>
      <sz val="11.0"/>
      <color rgb="FF000000"/>
      <name val="Calibri"/>
    </font>
    <font>
      <b/>
      <sz val="14.0"/>
      <color theme="1"/>
      <name val="Arial"/>
    </font>
    <font>
      <sz val="11.0"/>
      <color theme="1"/>
      <name val="Calibri"/>
    </font>
    <font>
      <sz val="9.0"/>
      <color rgb="FF404040"/>
      <name val="Arial"/>
    </font>
    <font>
      <b/>
      <sz val="9.0"/>
      <color rgb="FFFFFFFF"/>
      <name val="Arial"/>
    </font>
    <font>
      <sz val="9.0"/>
      <color rgb="FF000000"/>
      <name val="Arial"/>
    </font>
    <font/>
    <font>
      <b/>
      <sz val="9.0"/>
      <color rgb="FFC00000"/>
      <name val="Arial"/>
    </font>
    <font>
      <b/>
      <sz val="8.0"/>
      <color rgb="FF000000"/>
      <name val="Arial"/>
    </font>
    <font>
      <sz val="7.0"/>
      <color rgb="FF404040"/>
      <name val="Arial"/>
    </font>
    <font>
      <b/>
      <sz val="7.0"/>
      <color theme="1"/>
      <name val="Arial"/>
    </font>
    <font>
      <b/>
      <sz val="9.0"/>
      <color rgb="FF1F3864"/>
      <name val="Arial"/>
    </font>
    <font>
      <sz val="8.0"/>
      <color theme="1"/>
      <name val="Arial"/>
    </font>
    <font>
      <sz val="7.0"/>
      <color theme="1"/>
      <name val="Arial"/>
    </font>
    <font>
      <i/>
      <sz val="9.0"/>
      <color theme="1"/>
      <name val="Calibri"/>
    </font>
    <font>
      <b/>
      <sz val="11.0"/>
      <color rgb="FFFFFFFF"/>
      <name val="Calibri"/>
    </font>
    <font>
      <sz val="11.0"/>
      <color theme="1"/>
      <name val="Arial"/>
    </font>
    <font>
      <i/>
      <sz val="11.0"/>
      <color theme="1"/>
      <name val="Calibri"/>
    </font>
    <font>
      <sz val="9.0"/>
      <color theme="1"/>
      <name val="Calibri"/>
    </font>
    <font>
      <b/>
      <sz val="11.0"/>
      <color theme="1"/>
      <name val="Calibri"/>
    </font>
    <font>
      <i/>
      <sz val="8.0"/>
      <color rgb="FF595959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CE4E4"/>
        <bgColor rgb="FFFCE4E4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DCE6F1"/>
        <bgColor rgb="FFDCE6F1"/>
      </patternFill>
    </fill>
    <fill>
      <patternFill patternType="solid">
        <fgColor rgb="FFE8F3E3"/>
        <bgColor rgb="FFE8F3E3"/>
      </patternFill>
    </fill>
    <fill>
      <patternFill patternType="solid">
        <fgColor rgb="FFF2F2F2"/>
        <bgColor rgb="FFF2F2F2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</fills>
  <borders count="9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</border>
    <border>
      <left style="thin">
        <color rgb="FFA6A6A6"/>
      </left>
      <right style="thin">
        <color rgb="FFA6A6A6"/>
      </right>
      <bottom style="thin">
        <color rgb="FFA6A6A6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left" shrinkToFit="0" vertical="center" wrapText="0"/>
    </xf>
    <xf borderId="2" fillId="2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0"/>
    </xf>
    <xf borderId="3" fillId="4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left" shrinkToFit="0" vertical="center" wrapText="0"/>
    </xf>
    <xf borderId="4" fillId="0" fontId="7" numFmtId="0" xfId="0" applyBorder="1" applyFont="1"/>
    <xf borderId="5" fillId="0" fontId="7" numFmtId="0" xfId="0" applyBorder="1" applyFont="1"/>
    <xf borderId="1" fillId="3" fontId="8" numFmtId="0" xfId="0" applyAlignment="1" applyBorder="1" applyFill="1" applyFont="1">
      <alignment horizontal="left" shrinkToFit="0" vertical="center" wrapText="0"/>
    </xf>
    <xf borderId="3" fillId="5" fontId="5" numFmtId="0" xfId="0" applyAlignment="1" applyBorder="1" applyFill="1" applyFont="1">
      <alignment horizontal="center" shrinkToFit="0" vertical="center" wrapText="1"/>
    </xf>
    <xf borderId="3" fillId="6" fontId="5" numFmtId="0" xfId="0" applyAlignment="1" applyBorder="1" applyFill="1" applyFont="1">
      <alignment horizontal="center" shrinkToFit="0" vertical="center" wrapText="1"/>
    </xf>
    <xf borderId="6" fillId="0" fontId="7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1" fillId="7" fontId="9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7" fillId="0" fontId="7" numFmtId="0" xfId="0" applyBorder="1" applyFont="1"/>
    <xf borderId="1" fillId="8" fontId="6" numFmtId="0" xfId="0" applyAlignment="1" applyBorder="1" applyFill="1" applyFont="1">
      <alignment horizontal="left" shrinkToFit="0" vertical="center" wrapText="1"/>
    </xf>
    <xf borderId="1" fillId="9" fontId="10" numFmtId="0" xfId="0" applyAlignment="1" applyBorder="1" applyFill="1" applyFont="1">
      <alignment horizontal="center" shrinkToFit="0" vertical="center" wrapText="0"/>
    </xf>
    <xf borderId="1" fillId="8" fontId="8" numFmtId="0" xfId="0" applyAlignment="1" applyBorder="1" applyFill="1" applyFont="1">
      <alignment horizontal="center" shrinkToFit="0" vertical="center" wrapText="1"/>
    </xf>
    <xf borderId="1" fillId="7" fontId="11" numFmtId="0" xfId="0" applyAlignment="1" applyBorder="1" applyFill="1" applyFont="1">
      <alignment horizontal="center" shrinkToFit="0" vertical="center" wrapText="1"/>
    </xf>
    <xf borderId="1" fillId="7" fontId="12" numFmtId="0" xfId="0" applyAlignment="1" applyBorder="1" applyFill="1" applyFont="1">
      <alignment shrinkToFit="0" vertical="center" wrapText="1"/>
    </xf>
    <xf borderId="1" fillId="7" fontId="13" numFmtId="0" xfId="0" applyAlignment="1" applyBorder="1" applyFill="1" applyFont="1">
      <alignment shrinkToFit="0" vertical="center" wrapText="0"/>
    </xf>
    <xf borderId="1" fillId="7" fontId="13" numFmtId="0" xfId="0" applyAlignment="1" applyBorder="1" applyFill="1" applyFont="1">
      <alignment horizontal="center" shrinkToFit="0" vertical="center" wrapText="0"/>
    </xf>
    <xf borderId="1" fillId="7" fontId="3" numFmtId="0" xfId="0" applyAlignment="1" applyBorder="1" applyFill="1" applyFont="1">
      <alignment shrinkToFit="0" vertical="bottom" wrapText="0"/>
    </xf>
    <xf borderId="1" fillId="0" fontId="14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shrinkToFit="0" vertical="center" wrapText="0"/>
    </xf>
    <xf borderId="1" fillId="0" fontId="13" numFmtId="0" xfId="0" applyAlignment="1" applyBorder="1" applyFont="1">
      <alignment horizontal="center" shrinkToFit="0" vertical="center" wrapText="0"/>
    </xf>
    <xf borderId="1" fillId="10" fontId="3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4" fontId="3" numFmtId="0" xfId="0" applyAlignment="1" applyBorder="1" applyFill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8" fillId="2" fontId="16" numFmtId="0" xfId="0" applyAlignment="1" applyBorder="1" applyFill="1" applyFont="1">
      <alignment shrinkToFit="0" vertical="bottom" wrapText="0"/>
    </xf>
    <xf borderId="8" fillId="2" fontId="16" numFmtId="164" xfId="0" applyAlignment="1" applyBorder="1" applyFill="1" applyFont="1" applyNumberFormat="1">
      <alignment shrinkToFit="0" vertical="bottom" wrapText="0"/>
    </xf>
    <xf borderId="1" fillId="11" fontId="3" numFmtId="0" xfId="0" applyAlignment="1" applyBorder="1" applyFill="1" applyFont="1">
      <alignment shrinkToFit="0" vertical="bottom" wrapText="0"/>
    </xf>
    <xf borderId="0" fillId="0" fontId="3" numFmtId="1" xfId="0" applyAlignment="1" applyFont="1" applyNumberFormat="1">
      <alignment shrinkToFit="0" vertical="bottom" wrapText="0"/>
    </xf>
    <xf borderId="1" fillId="5" fontId="3" numFmtId="0" xfId="0" applyAlignment="1" applyBorder="1" applyFill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1" fillId="6" fontId="3" numFmtId="0" xfId="0" applyAlignment="1" applyBorder="1" applyFill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8" fillId="10" fontId="3" numFmtId="0" xfId="0" applyAlignment="1" applyBorder="1" applyFill="1" applyFont="1">
      <alignment shrinkToFit="0" vertical="bottom" wrapText="0"/>
    </xf>
    <xf borderId="8" fillId="4" fontId="3" numFmtId="0" xfId="0" applyAlignment="1" applyBorder="1" applyFill="1" applyFont="1">
      <alignment shrinkToFit="0" vertical="bottom" wrapText="0"/>
    </xf>
    <xf borderId="8" fillId="5" fontId="3" numFmtId="0" xfId="0" applyAlignment="1" applyBorder="1" applyFill="1" applyFont="1">
      <alignment shrinkToFit="0" vertical="bottom" wrapText="0"/>
    </xf>
    <xf borderId="8" fillId="6" fontId="3" numFmtId="0" xfId="0" applyAlignment="1" applyBorder="1" applyFill="1" applyFont="1">
      <alignment shrinkToFit="0" vertical="bottom" wrapText="0"/>
    </xf>
    <xf borderId="8" fillId="11" fontId="3" numFmtId="0" xfId="0" applyAlignment="1" applyBorder="1" applyFill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Calibri"/>
              </a:defRPr>
            </a:pPr>
            <a:r>
              <a:rPr b="0" i="0" sz="1400">
                <a:solidFill>
                  <a:srgbClr val="595959"/>
                </a:solidFill>
                <a:latin typeface="Calibri"/>
              </a:rPr>
              <a:t>Carta Gantt — Módulo de Preguntas · App móvil Aprueba (Semanas 1 a 18)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 inicio (días)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'Diagrama Gantt'!$A$5:$A$40</c:f>
            </c:strRef>
          </c:cat>
          <c:val>
            <c:numRef>
              <c:f>'Diagrama Gantt'!$B$5:$B$40</c:f>
              <c:numCache/>
            </c:numRef>
          </c:val>
        </c:ser>
        <c:ser>
          <c:idx val="1"/>
          <c:order val="1"/>
          <c:tx>
            <c:v>Duración (días)</c:v>
          </c:tx>
          <c:spPr>
            <a:solidFill>
              <a:srgbClr val="4472C4"/>
            </a:solidFill>
            <a:ln cmpd="sng">
              <a:noFill/>
            </a:ln>
          </c:spPr>
          <c:dPt>
            <c:idx val="0"/>
            <c:spPr>
              <a:solidFill>
                <a:srgbClr val="7030A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7030A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7030A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7030A0"/>
              </a:solidFill>
              <a:ln cmpd="sng">
                <a:noFill/>
              </a:ln>
            </c:spPr>
          </c:dPt>
          <c:dPt>
            <c:idx val="15"/>
            <c:spPr>
              <a:solidFill>
                <a:srgbClr val="C00000"/>
              </a:solidFill>
              <a:ln cmpd="sng">
                <a:noFill/>
              </a:ln>
            </c:spPr>
          </c:dPt>
          <c:dPt>
            <c:idx val="16"/>
            <c:spPr>
              <a:solidFill>
                <a:srgbClr val="70AD47"/>
              </a:solidFill>
              <a:ln cmpd="sng">
                <a:noFill/>
              </a:ln>
            </c:spPr>
          </c:dPt>
          <c:dPt>
            <c:idx val="17"/>
            <c:spPr>
              <a:solidFill>
                <a:srgbClr val="70AD47"/>
              </a:solidFill>
              <a:ln cmpd="sng">
                <a:noFill/>
              </a:ln>
            </c:spPr>
          </c:dPt>
          <c:dPt>
            <c:idx val="18"/>
            <c:spPr>
              <a:solidFill>
                <a:srgbClr val="70AD47"/>
              </a:solidFill>
              <a:ln cmpd="sng">
                <a:noFill/>
              </a:ln>
            </c:spPr>
          </c:dPt>
          <c:dPt>
            <c:idx val="19"/>
            <c:spPr>
              <a:solidFill>
                <a:srgbClr val="C00000"/>
              </a:solidFill>
              <a:ln cmpd="sng">
                <a:noFill/>
              </a:ln>
            </c:spPr>
          </c:dPt>
          <c:dPt>
            <c:idx val="20"/>
            <c:spPr>
              <a:solidFill>
                <a:srgbClr val="70AD47"/>
              </a:solidFill>
              <a:ln cmpd="sng">
                <a:noFill/>
              </a:ln>
            </c:spPr>
          </c:dPt>
          <c:dPt>
            <c:idx val="21"/>
            <c:spPr>
              <a:solidFill>
                <a:srgbClr val="70AD47"/>
              </a:solidFill>
              <a:ln cmpd="sng">
                <a:noFill/>
              </a:ln>
            </c:spPr>
          </c:dPt>
          <c:dPt>
            <c:idx val="22"/>
            <c:spPr>
              <a:solidFill>
                <a:srgbClr val="70AD47"/>
              </a:solidFill>
              <a:ln cmpd="sng">
                <a:noFill/>
              </a:ln>
            </c:spPr>
          </c:dPt>
          <c:dPt>
            <c:idx val="23"/>
            <c:spPr>
              <a:solidFill>
                <a:srgbClr val="C00000"/>
              </a:solidFill>
              <a:ln cmpd="sng">
                <a:noFill/>
              </a:ln>
            </c:spPr>
          </c:dPt>
          <c:dPt>
            <c:idx val="24"/>
            <c:spPr>
              <a:solidFill>
                <a:srgbClr val="C00000"/>
              </a:solidFill>
              <a:ln cmpd="sng">
                <a:noFill/>
              </a:ln>
            </c:spPr>
          </c:dPt>
          <c:dPt>
            <c:idx val="25"/>
            <c:spPr>
              <a:solidFill>
                <a:srgbClr val="70AD47"/>
              </a:solidFill>
              <a:ln cmpd="sng">
                <a:noFill/>
              </a:ln>
            </c:spPr>
          </c:dPt>
          <c:dPt>
            <c:idx val="26"/>
            <c:spPr>
              <a:solidFill>
                <a:srgbClr val="70AD47"/>
              </a:solidFill>
              <a:ln cmpd="sng">
                <a:noFill/>
              </a:ln>
            </c:spPr>
          </c:dPt>
          <c:dPt>
            <c:idx val="27"/>
            <c:spPr>
              <a:solidFill>
                <a:srgbClr val="70AD47"/>
              </a:solidFill>
              <a:ln cmpd="sng">
                <a:noFill/>
              </a:ln>
            </c:spPr>
          </c:dPt>
          <c:dPt>
            <c:idx val="28"/>
            <c:spPr>
              <a:solidFill>
                <a:srgbClr val="70AD47"/>
              </a:solidFill>
              <a:ln cmpd="sng">
                <a:noFill/>
              </a:ln>
            </c:spPr>
          </c:dPt>
          <c:dPt>
            <c:idx val="29"/>
            <c:spPr>
              <a:solidFill>
                <a:srgbClr val="C00000"/>
              </a:solidFill>
              <a:ln cmpd="sng">
                <a:noFill/>
              </a:ln>
            </c:spPr>
          </c:dPt>
          <c:dPt>
            <c:idx val="30"/>
            <c:spPr>
              <a:solidFill>
                <a:srgbClr val="70AD47"/>
              </a:solidFill>
              <a:ln cmpd="sng">
                <a:noFill/>
              </a:ln>
            </c:spPr>
          </c:dPt>
          <c:dPt>
            <c:idx val="31"/>
            <c:spPr>
              <a:solidFill>
                <a:srgbClr val="C00000"/>
              </a:solidFill>
              <a:ln cmpd="sng">
                <a:noFill/>
              </a:ln>
            </c:spPr>
          </c:dPt>
          <c:dPt>
            <c:idx val="32"/>
            <c:spPr>
              <a:solidFill>
                <a:srgbClr val="ED7D31"/>
              </a:solidFill>
              <a:ln cmpd="sng">
                <a:noFill/>
              </a:ln>
            </c:spPr>
          </c:dPt>
          <c:dPt>
            <c:idx val="33"/>
            <c:spPr>
              <a:solidFill>
                <a:srgbClr val="ED7D31"/>
              </a:solidFill>
              <a:ln cmpd="sng">
                <a:noFill/>
              </a:ln>
            </c:spPr>
          </c:dPt>
          <c:dPt>
            <c:idx val="34"/>
            <c:spPr>
              <a:solidFill>
                <a:srgbClr val="C00000"/>
              </a:solidFill>
              <a:ln cmpd="sng">
                <a:noFill/>
              </a:ln>
            </c:spPr>
          </c:dPt>
          <c:dPt>
            <c:idx val="35"/>
            <c:spPr>
              <a:solidFill>
                <a:srgbClr val="C00000"/>
              </a:solidFill>
              <a:ln cmpd="sng">
                <a:noFill/>
              </a:ln>
            </c:spPr>
          </c:dPt>
          <c:cat>
            <c:strRef>
              <c:f>'Diagrama Gantt'!$A$5:$A$40</c:f>
            </c:strRef>
          </c:cat>
          <c:val>
            <c:numRef>
              <c:f>'Diagrama Gantt'!$C$5:$C$40</c:f>
              <c:numCache/>
            </c:numRef>
          </c:val>
        </c:ser>
        <c:overlap val="100"/>
        <c:axId val="872755427"/>
        <c:axId val="631266437"/>
      </c:barChart>
      <c:catAx>
        <c:axId val="8727554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595959"/>
                </a:solidFill>
                <a:latin typeface="Calibri"/>
              </a:defRPr>
            </a:pPr>
          </a:p>
        </c:txPr>
        <c:crossAx val="631266437"/>
      </c:catAx>
      <c:valAx>
        <c:axId val="631266437"/>
        <c:scaling>
          <c:orientation val="minMax"/>
          <c:max val="126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595959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595959"/>
                    </a:solidFill>
                    <a:latin typeface="Calibri"/>
                  </a:rPr>
                  <a:t>Días desde el 10/08/2026 (cada marca = 1 semana)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595959"/>
                </a:solidFill>
                <a:latin typeface="Calibri"/>
              </a:defRPr>
            </a:pPr>
          </a:p>
        </c:txPr>
        <c:crossAx val="872755427"/>
        <c:crosses val="max"/>
        <c:majorUnit val="7.0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4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81175" cy="447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2000250" cy="58102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</xdr:row>
      <xdr:rowOff>161925</xdr:rowOff>
    </xdr:from>
    <xdr:ext cx="2009775" cy="6000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0</xdr:rowOff>
    </xdr:from>
    <xdr:ext cx="12677775" cy="13173075"/>
    <xdr:graphicFrame>
      <xdr:nvGraphicFramePr>
        <xdr:cNvPr id="49535234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1</xdr:row>
      <xdr:rowOff>142875</xdr:rowOff>
    </xdr:from>
    <xdr:ext cx="2076450" cy="60007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485775</xdr:colOff>
      <xdr:row>1</xdr:row>
      <xdr:rowOff>57150</xdr:rowOff>
    </xdr:from>
    <xdr:ext cx="7400925" cy="1219200"/>
    <xdr:sp>
      <xdr:nvSpPr>
        <xdr:cNvPr id="3" name="Shape 3"/>
        <xdr:cNvSpPr/>
      </xdr:nvSpPr>
      <xdr:spPr>
        <a:xfrm>
          <a:off x="1655063" y="3179925"/>
          <a:ext cx="7381875" cy="1200150"/>
        </a:xfrm>
        <a:prstGeom prst="roundRect">
          <a:avLst>
            <a:gd fmla="val 16667" name="adj"/>
          </a:avLst>
        </a:prstGeom>
        <a:solidFill>
          <a:srgbClr val="1F386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  MÓDULO DE PREGUNTAS · APP MÓVIL APRUEBA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(Metodología XP · 18 semanas · 10/08/2026 – 12/12/2026)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485775</xdr:colOff>
      <xdr:row>7</xdr:row>
      <xdr:rowOff>95250</xdr:rowOff>
    </xdr:from>
    <xdr:ext cx="3390900" cy="657225"/>
    <xdr:sp>
      <xdr:nvSpPr>
        <xdr:cNvPr id="4" name="Shape 4"/>
        <xdr:cNvSpPr/>
      </xdr:nvSpPr>
      <xdr:spPr>
        <a:xfrm>
          <a:off x="3655313" y="3460913"/>
          <a:ext cx="3381375" cy="638175"/>
        </a:xfrm>
        <a:prstGeom prst="roundRect">
          <a:avLst>
            <a:gd fmla="val 16667" name="adj"/>
          </a:avLst>
        </a:prstGeom>
        <a:solidFill>
          <a:srgbClr val="7030A0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0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1.1  GESTIÓN DEL PROYECTO</a:t>
          </a:r>
          <a:endParaRPr b="0" sz="10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209550</xdr:colOff>
      <xdr:row>11</xdr:row>
      <xdr:rowOff>123825</xdr:rowOff>
    </xdr:from>
    <xdr:ext cx="2990850" cy="771525"/>
    <xdr:sp>
      <xdr:nvSpPr>
        <xdr:cNvPr id="5" name="Shape 5"/>
        <xdr:cNvSpPr/>
      </xdr:nvSpPr>
      <xdr:spPr>
        <a:xfrm>
          <a:off x="3860100" y="3403763"/>
          <a:ext cx="2971800" cy="752475"/>
        </a:xfrm>
        <a:prstGeom prst="roundRect">
          <a:avLst>
            <a:gd fmla="val 16667" name="adj"/>
          </a:avLst>
        </a:prstGeom>
        <a:solidFill>
          <a:srgbClr val="7030A0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1.1.1 Plan de gestión y tablero de trabajo</a:t>
          </a:r>
          <a:endParaRPr b="0" sz="8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209550</xdr:colOff>
      <xdr:row>15</xdr:row>
      <xdr:rowOff>95250</xdr:rowOff>
    </xdr:from>
    <xdr:ext cx="2990850" cy="771525"/>
    <xdr:sp>
      <xdr:nvSpPr>
        <xdr:cNvPr id="6" name="Shape 6"/>
        <xdr:cNvSpPr/>
      </xdr:nvSpPr>
      <xdr:spPr>
        <a:xfrm>
          <a:off x="3860100" y="3403763"/>
          <a:ext cx="2971800" cy="752475"/>
        </a:xfrm>
        <a:prstGeom prst="roundRect">
          <a:avLst>
            <a:gd fmla="val 16667" name="adj"/>
          </a:avLst>
        </a:prstGeom>
        <a:solidFill>
          <a:srgbClr val="7030A0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1.1.2 Prácticas y ceremonias XP</a:t>
          </a:r>
          <a:endParaRPr b="0" sz="8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209550</xdr:colOff>
      <xdr:row>19</xdr:row>
      <xdr:rowOff>76200</xdr:rowOff>
    </xdr:from>
    <xdr:ext cx="2990850" cy="714375"/>
    <xdr:sp>
      <xdr:nvSpPr>
        <xdr:cNvPr id="8" name="Shape 8"/>
        <xdr:cNvSpPr/>
      </xdr:nvSpPr>
      <xdr:spPr>
        <a:xfrm>
          <a:off x="3860100" y="3432338"/>
          <a:ext cx="2971800" cy="695325"/>
        </a:xfrm>
        <a:prstGeom prst="roundRect">
          <a:avLst>
            <a:gd fmla="val 16667" name="adj"/>
          </a:avLst>
        </a:prstGeom>
        <a:solidFill>
          <a:srgbClr val="7030A0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1.1.3 Bitácora de supuestos y decisiones</a:t>
          </a:r>
          <a:endParaRPr b="0" sz="8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209550</xdr:colOff>
      <xdr:row>23</xdr:row>
      <xdr:rowOff>47625</xdr:rowOff>
    </xdr:from>
    <xdr:ext cx="2990850" cy="704850"/>
    <xdr:sp>
      <xdr:nvSpPr>
        <xdr:cNvPr id="9" name="Shape 9"/>
        <xdr:cNvSpPr/>
      </xdr:nvSpPr>
      <xdr:spPr>
        <a:xfrm>
          <a:off x="3860100" y="3437100"/>
          <a:ext cx="2971800" cy="685800"/>
        </a:xfrm>
        <a:prstGeom prst="roundRect">
          <a:avLst>
            <a:gd fmla="val 16667" name="adj"/>
          </a:avLst>
        </a:prstGeom>
        <a:solidFill>
          <a:srgbClr val="7030A0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1.1.4 Evidencias académicas individuales</a:t>
          </a:r>
          <a:endParaRPr b="0" sz="8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238125</xdr:colOff>
      <xdr:row>7</xdr:row>
      <xdr:rowOff>95250</xdr:rowOff>
    </xdr:from>
    <xdr:ext cx="4629150" cy="657225"/>
    <xdr:sp>
      <xdr:nvSpPr>
        <xdr:cNvPr id="10" name="Shape 10"/>
        <xdr:cNvSpPr/>
      </xdr:nvSpPr>
      <xdr:spPr>
        <a:xfrm>
          <a:off x="3036188" y="3460913"/>
          <a:ext cx="4619625" cy="638175"/>
        </a:xfrm>
        <a:prstGeom prst="roundRect">
          <a:avLst>
            <a:gd fmla="val 16667" name="adj"/>
          </a:avLst>
        </a:prstGeom>
        <a:solidFill>
          <a:srgbClr val="4472C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0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1.2  DEFINICIÓN DEL PROYECTO</a:t>
          </a:r>
          <a:endParaRPr b="0" sz="10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714375</xdr:colOff>
      <xdr:row>11</xdr:row>
      <xdr:rowOff>123825</xdr:rowOff>
    </xdr:from>
    <xdr:ext cx="4152900" cy="771525"/>
    <xdr:sp>
      <xdr:nvSpPr>
        <xdr:cNvPr id="12" name="Shape 12"/>
        <xdr:cNvSpPr/>
      </xdr:nvSpPr>
      <xdr:spPr>
        <a:xfrm>
          <a:off x="3274313" y="3403763"/>
          <a:ext cx="4143375" cy="752475"/>
        </a:xfrm>
        <a:prstGeom prst="roundRect">
          <a:avLst>
            <a:gd fmla="val 16667" name="adj"/>
          </a:avLst>
        </a:prstGeom>
        <a:solidFill>
          <a:srgbClr val="4472C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1.2.1 Inicio: Acta de Constitución, Product Vision, Registro de interesados</a:t>
          </a:r>
          <a:endParaRPr b="0" sz="8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714375</xdr:colOff>
      <xdr:row>15</xdr:row>
      <xdr:rowOff>95250</xdr:rowOff>
    </xdr:from>
    <xdr:ext cx="4152900" cy="771525"/>
    <xdr:sp>
      <xdr:nvSpPr>
        <xdr:cNvPr id="14" name="Shape 14"/>
        <xdr:cNvSpPr/>
      </xdr:nvSpPr>
      <xdr:spPr>
        <a:xfrm>
          <a:off x="3274313" y="3403763"/>
          <a:ext cx="4143375" cy="752475"/>
        </a:xfrm>
        <a:prstGeom prst="roundRect">
          <a:avLst>
            <a:gd fmla="val 16667" name="adj"/>
          </a:avLst>
        </a:prstGeom>
        <a:solidFill>
          <a:srgbClr val="4472C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1.2.2 Planificación: Alcance preliminar, EDT y diccionario, Historias de usuario, SRS, Cronograma</a:t>
          </a:r>
          <a:endParaRPr b="0" sz="8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714375</xdr:colOff>
      <xdr:row>19</xdr:row>
      <xdr:rowOff>76200</xdr:rowOff>
    </xdr:from>
    <xdr:ext cx="4152900" cy="714375"/>
    <xdr:sp>
      <xdr:nvSpPr>
        <xdr:cNvPr id="16" name="Shape 16"/>
        <xdr:cNvSpPr/>
      </xdr:nvSpPr>
      <xdr:spPr>
        <a:xfrm>
          <a:off x="3274313" y="3432338"/>
          <a:ext cx="4143375" cy="695325"/>
        </a:xfrm>
        <a:prstGeom prst="roundRect">
          <a:avLst>
            <a:gd fmla="val 16667" name="adj"/>
          </a:avLst>
        </a:prstGeom>
        <a:solidFill>
          <a:srgbClr val="4472C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1.2.3 Preparación técnica: Tecnologías, Diagrama de arquitectura, Repositorio GitHub</a:t>
          </a:r>
          <a:endParaRPr b="0" sz="8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714375</xdr:colOff>
      <xdr:row>23</xdr:row>
      <xdr:rowOff>47625</xdr:rowOff>
    </xdr:from>
    <xdr:ext cx="4152900" cy="704850"/>
    <xdr:sp>
      <xdr:nvSpPr>
        <xdr:cNvPr id="18" name="Shape 18"/>
        <xdr:cNvSpPr/>
      </xdr:nvSpPr>
      <xdr:spPr>
        <a:xfrm>
          <a:off x="3274313" y="3437100"/>
          <a:ext cx="4143375" cy="685800"/>
        </a:xfrm>
        <a:prstGeom prst="roundRect">
          <a:avLst>
            <a:gd fmla="val 16667" name="adj"/>
          </a:avLst>
        </a:prstGeom>
        <a:solidFill>
          <a:srgbClr val="4472C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1.2.4 Exposición de Fase 1</a:t>
          </a:r>
          <a:endParaRPr b="0" sz="8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0</xdr:colOff>
      <xdr:row>7</xdr:row>
      <xdr:rowOff>95250</xdr:rowOff>
    </xdr:from>
    <xdr:ext cx="4457700" cy="657225"/>
    <xdr:sp>
      <xdr:nvSpPr>
        <xdr:cNvPr id="20" name="Shape 20"/>
        <xdr:cNvSpPr/>
      </xdr:nvSpPr>
      <xdr:spPr>
        <a:xfrm>
          <a:off x="3126675" y="3460913"/>
          <a:ext cx="4438650" cy="638175"/>
        </a:xfrm>
        <a:prstGeom prst="roundRect">
          <a:avLst>
            <a:gd fmla="val 16667" name="adj"/>
          </a:avLst>
        </a:prstGeom>
        <a:solidFill>
          <a:srgbClr val="70AD47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0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1.3  DESARROLLO DEL MÓDULO</a:t>
          </a:r>
          <a:endParaRPr b="0" sz="10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466725</xdr:colOff>
      <xdr:row>11</xdr:row>
      <xdr:rowOff>123825</xdr:rowOff>
    </xdr:from>
    <xdr:ext cx="3971925" cy="771525"/>
    <xdr:sp>
      <xdr:nvSpPr>
        <xdr:cNvPr id="22" name="Shape 22"/>
        <xdr:cNvSpPr/>
      </xdr:nvSpPr>
      <xdr:spPr>
        <a:xfrm>
          <a:off x="3369563" y="3403763"/>
          <a:ext cx="3952875" cy="752475"/>
        </a:xfrm>
        <a:prstGeom prst="roundRect">
          <a:avLst>
            <a:gd fmla="val 16667" name="adj"/>
          </a:avLst>
        </a:prstGeom>
        <a:solidFill>
          <a:srgbClr val="70AD47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1.3.1 Entorno de desarrollo móvil y backend</a:t>
          </a:r>
          <a:endParaRPr b="0" sz="8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466725</xdr:colOff>
      <xdr:row>15</xdr:row>
      <xdr:rowOff>95250</xdr:rowOff>
    </xdr:from>
    <xdr:ext cx="3971925" cy="771525"/>
    <xdr:sp>
      <xdr:nvSpPr>
        <xdr:cNvPr id="24" name="Shape 24"/>
        <xdr:cNvSpPr/>
      </xdr:nvSpPr>
      <xdr:spPr>
        <a:xfrm>
          <a:off x="3369563" y="3403763"/>
          <a:ext cx="3952875" cy="752475"/>
        </a:xfrm>
        <a:prstGeom prst="roundRect">
          <a:avLst>
            <a:gd fmla="val 16667" name="adj"/>
          </a:avLst>
        </a:prstGeom>
        <a:solidFill>
          <a:srgbClr val="70AD47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1.3.2 Modelo de datos, esquema local y dominio</a:t>
          </a:r>
          <a:endParaRPr b="0" sz="8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466725</xdr:colOff>
      <xdr:row>19</xdr:row>
      <xdr:rowOff>76200</xdr:rowOff>
    </xdr:from>
    <xdr:ext cx="3971925" cy="714375"/>
    <xdr:sp>
      <xdr:nvSpPr>
        <xdr:cNvPr id="26" name="Shape 26"/>
        <xdr:cNvSpPr/>
      </xdr:nvSpPr>
      <xdr:spPr>
        <a:xfrm>
          <a:off x="3369563" y="3432338"/>
          <a:ext cx="3952875" cy="695325"/>
        </a:xfrm>
        <a:prstGeom prst="roundRect">
          <a:avLst>
            <a:gd fmla="val 16667" name="adj"/>
          </a:avLst>
        </a:prstGeom>
        <a:solidFill>
          <a:srgbClr val="70AD47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1.3.3 Servicios: práctica, configuración, cuota, recorrección, caché</a:t>
          </a:r>
          <a:endParaRPr b="0" sz="8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466725</xdr:colOff>
      <xdr:row>23</xdr:row>
      <xdr:rowOff>47625</xdr:rowOff>
    </xdr:from>
    <xdr:ext cx="3971925" cy="704850"/>
    <xdr:sp>
      <xdr:nvSpPr>
        <xdr:cNvPr id="28" name="Shape 28"/>
        <xdr:cNvSpPr/>
      </xdr:nvSpPr>
      <xdr:spPr>
        <a:xfrm>
          <a:off x="3369563" y="3437100"/>
          <a:ext cx="3952875" cy="685800"/>
        </a:xfrm>
        <a:prstGeom prst="roundRect">
          <a:avLst>
            <a:gd fmla="val 16667" name="adj"/>
          </a:avLst>
        </a:prstGeom>
        <a:solidFill>
          <a:srgbClr val="70AD47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1.3.4 Pantallas: Pregunta, Resultado, Explicación, Habilidad, Recorrección, Desbloqueo</a:t>
          </a:r>
          <a:endParaRPr b="0" sz="8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466725</xdr:colOff>
      <xdr:row>27</xdr:row>
      <xdr:rowOff>19050</xdr:rowOff>
    </xdr:from>
    <xdr:ext cx="3971925" cy="704850"/>
    <xdr:sp>
      <xdr:nvSpPr>
        <xdr:cNvPr id="30" name="Shape 30"/>
        <xdr:cNvSpPr/>
      </xdr:nvSpPr>
      <xdr:spPr>
        <a:xfrm>
          <a:off x="3369563" y="3437100"/>
          <a:ext cx="3952875" cy="685800"/>
        </a:xfrm>
        <a:prstGeom prst="roundRect">
          <a:avLst>
            <a:gd fmla="val 16667" name="adj"/>
          </a:avLst>
        </a:prstGeom>
        <a:solidFill>
          <a:srgbClr val="70AD47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1.3.5 Manejo de sesión y progreso</a:t>
          </a:r>
          <a:endParaRPr b="0" sz="8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466725</xdr:colOff>
      <xdr:row>31</xdr:row>
      <xdr:rowOff>0</xdr:rowOff>
    </xdr:from>
    <xdr:ext cx="3971925" cy="704850"/>
    <xdr:sp>
      <xdr:nvSpPr>
        <xdr:cNvPr id="32" name="Shape 32"/>
        <xdr:cNvSpPr/>
      </xdr:nvSpPr>
      <xdr:spPr>
        <a:xfrm>
          <a:off x="3369563" y="3437100"/>
          <a:ext cx="3952875" cy="685800"/>
        </a:xfrm>
        <a:prstGeom prst="roundRect">
          <a:avLst>
            <a:gd fmla="val 16667" name="adj"/>
          </a:avLst>
        </a:prstGeom>
        <a:solidFill>
          <a:srgbClr val="70AD47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1.3.6 Pruebas unitarias, integración, análisis estático, Docker</a:t>
          </a:r>
          <a:endParaRPr b="0" sz="8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466725</xdr:colOff>
      <xdr:row>34</xdr:row>
      <xdr:rowOff>161925</xdr:rowOff>
    </xdr:from>
    <xdr:ext cx="3971925" cy="733425"/>
    <xdr:sp>
      <xdr:nvSpPr>
        <xdr:cNvPr id="34" name="Shape 34"/>
        <xdr:cNvSpPr/>
      </xdr:nvSpPr>
      <xdr:spPr>
        <a:xfrm>
          <a:off x="3369563" y="3422813"/>
          <a:ext cx="3952875" cy="714375"/>
        </a:xfrm>
        <a:prstGeom prst="roundRect">
          <a:avLst>
            <a:gd fmla="val 16667" name="adj"/>
          </a:avLst>
        </a:prstGeom>
        <a:solidFill>
          <a:srgbClr val="70AD47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1.3.7 Informe de Avance e Informe Final</a:t>
          </a:r>
          <a:endParaRPr b="0" sz="8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17</xdr:col>
      <xdr:colOff>485775</xdr:colOff>
      <xdr:row>7</xdr:row>
      <xdr:rowOff>95250</xdr:rowOff>
    </xdr:from>
    <xdr:ext cx="4629150" cy="657225"/>
    <xdr:sp>
      <xdr:nvSpPr>
        <xdr:cNvPr id="36" name="Shape 36"/>
        <xdr:cNvSpPr/>
      </xdr:nvSpPr>
      <xdr:spPr>
        <a:xfrm>
          <a:off x="3036188" y="3460913"/>
          <a:ext cx="4619625" cy="638175"/>
        </a:xfrm>
        <a:prstGeom prst="roundRect">
          <a:avLst>
            <a:gd fmla="val 16667" name="adj"/>
          </a:avLst>
        </a:prstGeom>
        <a:solidFill>
          <a:srgbClr val="ED7D31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0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1.4  CIERRE Y PRESENTACIÓN</a:t>
          </a:r>
          <a:endParaRPr b="0" sz="10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18</xdr:col>
      <xdr:colOff>209550</xdr:colOff>
      <xdr:row>11</xdr:row>
      <xdr:rowOff>123825</xdr:rowOff>
    </xdr:from>
    <xdr:ext cx="3981450" cy="771525"/>
    <xdr:sp>
      <xdr:nvSpPr>
        <xdr:cNvPr id="38" name="Shape 38"/>
        <xdr:cNvSpPr/>
      </xdr:nvSpPr>
      <xdr:spPr>
        <a:xfrm>
          <a:off x="3364800" y="3403763"/>
          <a:ext cx="3962400" cy="752475"/>
        </a:xfrm>
        <a:prstGeom prst="roundRect">
          <a:avLst>
            <a:gd fmla="val 16667" name="adj"/>
          </a:avLst>
        </a:prstGeom>
        <a:solidFill>
          <a:srgbClr val="ED7D31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1.4.1 Documentación final y manual técnico</a:t>
          </a:r>
          <a:endParaRPr b="0" sz="8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18</xdr:col>
      <xdr:colOff>209550</xdr:colOff>
      <xdr:row>15</xdr:row>
      <xdr:rowOff>95250</xdr:rowOff>
    </xdr:from>
    <xdr:ext cx="3981450" cy="771525"/>
    <xdr:sp>
      <xdr:nvSpPr>
        <xdr:cNvPr id="40" name="Shape 40"/>
        <xdr:cNvSpPr/>
      </xdr:nvSpPr>
      <xdr:spPr>
        <a:xfrm>
          <a:off x="3364800" y="3403763"/>
          <a:ext cx="3962400" cy="752475"/>
        </a:xfrm>
        <a:prstGeom prst="roundRect">
          <a:avLst>
            <a:gd fmla="val 16667" name="adj"/>
          </a:avLst>
        </a:prstGeom>
        <a:solidFill>
          <a:srgbClr val="ED7D31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1.4.2 Demostración funcional y ensayo</a:t>
          </a:r>
          <a:endParaRPr b="0" sz="8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18</xdr:col>
      <xdr:colOff>209550</xdr:colOff>
      <xdr:row>19</xdr:row>
      <xdr:rowOff>76200</xdr:rowOff>
    </xdr:from>
    <xdr:ext cx="3981450" cy="714375"/>
    <xdr:sp>
      <xdr:nvSpPr>
        <xdr:cNvPr id="42" name="Shape 42"/>
        <xdr:cNvSpPr/>
      </xdr:nvSpPr>
      <xdr:spPr>
        <a:xfrm>
          <a:off x="3364800" y="3432338"/>
          <a:ext cx="3962400" cy="695325"/>
        </a:xfrm>
        <a:prstGeom prst="roundRect">
          <a:avLst>
            <a:gd fmla="val 16667" name="adj"/>
          </a:avLst>
        </a:prstGeom>
        <a:solidFill>
          <a:srgbClr val="ED7D31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1.4.3 Presentación ante comisión evaluadora</a:t>
          </a:r>
          <a:endParaRPr b="0" sz="8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18</xdr:col>
      <xdr:colOff>209550</xdr:colOff>
      <xdr:row>23</xdr:row>
      <xdr:rowOff>47625</xdr:rowOff>
    </xdr:from>
    <xdr:ext cx="3981450" cy="704850"/>
    <xdr:sp>
      <xdr:nvSpPr>
        <xdr:cNvPr id="44" name="Shape 44"/>
        <xdr:cNvSpPr/>
      </xdr:nvSpPr>
      <xdr:spPr>
        <a:xfrm>
          <a:off x="3364800" y="3437100"/>
          <a:ext cx="3962400" cy="685800"/>
        </a:xfrm>
        <a:prstGeom prst="roundRect">
          <a:avLst>
            <a:gd fmla="val 16667" name="adj"/>
          </a:avLst>
        </a:prstGeom>
        <a:solidFill>
          <a:srgbClr val="ED7D31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25550" spcFirstLastPara="1" rIns="2555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1.4.4 (*) Presentación a empresas vinculadas</a:t>
          </a:r>
          <a:endParaRPr b="0" sz="8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19050</xdr:colOff>
      <xdr:row>1</xdr:row>
      <xdr:rowOff>38100</xdr:rowOff>
    </xdr:from>
    <xdr:ext cx="1590675" cy="4857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3</xdr:row>
      <xdr:rowOff>57150</xdr:rowOff>
    </xdr:from>
    <xdr:ext cx="819150" cy="457200"/>
    <xdr:sp>
      <xdr:nvSpPr>
        <xdr:cNvPr id="7" name="Shape 7"/>
        <xdr:cNvSpPr/>
      </xdr:nvSpPr>
      <xdr:spPr>
        <a:xfrm>
          <a:off x="4945950" y="3560925"/>
          <a:ext cx="800100" cy="438150"/>
        </a:xfrm>
        <a:prstGeom prst="rect">
          <a:avLst/>
        </a:prstGeom>
        <a:solidFill>
          <a:srgbClr val="1F386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S1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10/08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619125</xdr:colOff>
      <xdr:row>3</xdr:row>
      <xdr:rowOff>57150</xdr:rowOff>
    </xdr:from>
    <xdr:ext cx="800100" cy="457200"/>
    <xdr:sp>
      <xdr:nvSpPr>
        <xdr:cNvPr id="11" name="Shape 11"/>
        <xdr:cNvSpPr/>
      </xdr:nvSpPr>
      <xdr:spPr>
        <a:xfrm>
          <a:off x="4950713" y="3560925"/>
          <a:ext cx="790575" cy="438150"/>
        </a:xfrm>
        <a:prstGeom prst="rect">
          <a:avLst/>
        </a:prstGeom>
        <a:solidFill>
          <a:srgbClr val="1F386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S2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17/08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0</xdr:colOff>
      <xdr:row>3</xdr:row>
      <xdr:rowOff>57150</xdr:rowOff>
    </xdr:from>
    <xdr:ext cx="819150" cy="457200"/>
    <xdr:sp>
      <xdr:nvSpPr>
        <xdr:cNvPr id="13" name="Shape 13"/>
        <xdr:cNvSpPr/>
      </xdr:nvSpPr>
      <xdr:spPr>
        <a:xfrm>
          <a:off x="4945950" y="3560925"/>
          <a:ext cx="800100" cy="438150"/>
        </a:xfrm>
        <a:prstGeom prst="rect">
          <a:avLst/>
        </a:prstGeom>
        <a:solidFill>
          <a:srgbClr val="1F386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S3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24/08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104775</xdr:colOff>
      <xdr:row>3</xdr:row>
      <xdr:rowOff>57150</xdr:rowOff>
    </xdr:from>
    <xdr:ext cx="819150" cy="457200"/>
    <xdr:sp>
      <xdr:nvSpPr>
        <xdr:cNvPr id="15" name="Shape 15"/>
        <xdr:cNvSpPr/>
      </xdr:nvSpPr>
      <xdr:spPr>
        <a:xfrm>
          <a:off x="4945950" y="3560925"/>
          <a:ext cx="800100" cy="438150"/>
        </a:xfrm>
        <a:prstGeom prst="rect">
          <a:avLst/>
        </a:prstGeom>
        <a:solidFill>
          <a:srgbClr val="1F386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S4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31/08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238125</xdr:colOff>
      <xdr:row>3</xdr:row>
      <xdr:rowOff>57150</xdr:rowOff>
    </xdr:from>
    <xdr:ext cx="819150" cy="457200"/>
    <xdr:sp>
      <xdr:nvSpPr>
        <xdr:cNvPr id="17" name="Shape 17"/>
        <xdr:cNvSpPr/>
      </xdr:nvSpPr>
      <xdr:spPr>
        <a:xfrm>
          <a:off x="4945950" y="3560925"/>
          <a:ext cx="800100" cy="438150"/>
        </a:xfrm>
        <a:prstGeom prst="rect">
          <a:avLst/>
        </a:prstGeom>
        <a:solidFill>
          <a:srgbClr val="1F386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S5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07/09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361950</xdr:colOff>
      <xdr:row>3</xdr:row>
      <xdr:rowOff>57150</xdr:rowOff>
    </xdr:from>
    <xdr:ext cx="819150" cy="457200"/>
    <xdr:sp>
      <xdr:nvSpPr>
        <xdr:cNvPr id="19" name="Shape 19"/>
        <xdr:cNvSpPr/>
      </xdr:nvSpPr>
      <xdr:spPr>
        <a:xfrm>
          <a:off x="4945950" y="3560925"/>
          <a:ext cx="800100" cy="438150"/>
        </a:xfrm>
        <a:prstGeom prst="rect">
          <a:avLst/>
        </a:prstGeom>
        <a:solidFill>
          <a:srgbClr val="1F386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S6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14/09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485775</xdr:colOff>
      <xdr:row>3</xdr:row>
      <xdr:rowOff>57150</xdr:rowOff>
    </xdr:from>
    <xdr:ext cx="819150" cy="457200"/>
    <xdr:sp>
      <xdr:nvSpPr>
        <xdr:cNvPr id="21" name="Shape 21"/>
        <xdr:cNvSpPr/>
      </xdr:nvSpPr>
      <xdr:spPr>
        <a:xfrm>
          <a:off x="4945950" y="3560925"/>
          <a:ext cx="800100" cy="438150"/>
        </a:xfrm>
        <a:prstGeom prst="rect">
          <a:avLst/>
        </a:prstGeom>
        <a:solidFill>
          <a:srgbClr val="1F386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S7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21/09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619125</xdr:colOff>
      <xdr:row>3</xdr:row>
      <xdr:rowOff>57150</xdr:rowOff>
    </xdr:from>
    <xdr:ext cx="809625" cy="457200"/>
    <xdr:sp>
      <xdr:nvSpPr>
        <xdr:cNvPr id="23" name="Shape 23"/>
        <xdr:cNvSpPr/>
      </xdr:nvSpPr>
      <xdr:spPr>
        <a:xfrm>
          <a:off x="4950713" y="3560925"/>
          <a:ext cx="790575" cy="438150"/>
        </a:xfrm>
        <a:prstGeom prst="rect">
          <a:avLst/>
        </a:prstGeom>
        <a:solidFill>
          <a:srgbClr val="1F386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S8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28/09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0</xdr:colOff>
      <xdr:row>3</xdr:row>
      <xdr:rowOff>57150</xdr:rowOff>
    </xdr:from>
    <xdr:ext cx="819150" cy="457200"/>
    <xdr:sp>
      <xdr:nvSpPr>
        <xdr:cNvPr id="25" name="Shape 25"/>
        <xdr:cNvSpPr/>
      </xdr:nvSpPr>
      <xdr:spPr>
        <a:xfrm>
          <a:off x="4945950" y="3560925"/>
          <a:ext cx="800100" cy="438150"/>
        </a:xfrm>
        <a:prstGeom prst="rect">
          <a:avLst/>
        </a:prstGeom>
        <a:solidFill>
          <a:srgbClr val="1F386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S9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05/10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11</xdr:col>
      <xdr:colOff>104775</xdr:colOff>
      <xdr:row>3</xdr:row>
      <xdr:rowOff>57150</xdr:rowOff>
    </xdr:from>
    <xdr:ext cx="819150" cy="457200"/>
    <xdr:sp>
      <xdr:nvSpPr>
        <xdr:cNvPr id="27" name="Shape 27"/>
        <xdr:cNvSpPr/>
      </xdr:nvSpPr>
      <xdr:spPr>
        <a:xfrm>
          <a:off x="4945950" y="3560925"/>
          <a:ext cx="800100" cy="438150"/>
        </a:xfrm>
        <a:prstGeom prst="rect">
          <a:avLst/>
        </a:prstGeom>
        <a:solidFill>
          <a:srgbClr val="1F386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S10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12/10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238125</xdr:colOff>
      <xdr:row>3</xdr:row>
      <xdr:rowOff>57150</xdr:rowOff>
    </xdr:from>
    <xdr:ext cx="819150" cy="457200"/>
    <xdr:sp>
      <xdr:nvSpPr>
        <xdr:cNvPr id="29" name="Shape 29"/>
        <xdr:cNvSpPr/>
      </xdr:nvSpPr>
      <xdr:spPr>
        <a:xfrm>
          <a:off x="4945950" y="3560925"/>
          <a:ext cx="800100" cy="438150"/>
        </a:xfrm>
        <a:prstGeom prst="rect">
          <a:avLst/>
        </a:prstGeom>
        <a:solidFill>
          <a:srgbClr val="1F386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S11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19/10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361950</xdr:colOff>
      <xdr:row>3</xdr:row>
      <xdr:rowOff>57150</xdr:rowOff>
    </xdr:from>
    <xdr:ext cx="819150" cy="457200"/>
    <xdr:sp>
      <xdr:nvSpPr>
        <xdr:cNvPr id="31" name="Shape 31"/>
        <xdr:cNvSpPr/>
      </xdr:nvSpPr>
      <xdr:spPr>
        <a:xfrm>
          <a:off x="4945950" y="3560925"/>
          <a:ext cx="800100" cy="438150"/>
        </a:xfrm>
        <a:prstGeom prst="rect">
          <a:avLst/>
        </a:prstGeom>
        <a:solidFill>
          <a:srgbClr val="1F386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S12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26/10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14</xdr:col>
      <xdr:colOff>485775</xdr:colOff>
      <xdr:row>3</xdr:row>
      <xdr:rowOff>57150</xdr:rowOff>
    </xdr:from>
    <xdr:ext cx="819150" cy="457200"/>
    <xdr:sp>
      <xdr:nvSpPr>
        <xdr:cNvPr id="33" name="Shape 33"/>
        <xdr:cNvSpPr/>
      </xdr:nvSpPr>
      <xdr:spPr>
        <a:xfrm>
          <a:off x="4945950" y="3560925"/>
          <a:ext cx="800100" cy="438150"/>
        </a:xfrm>
        <a:prstGeom prst="rect">
          <a:avLst/>
        </a:prstGeom>
        <a:solidFill>
          <a:srgbClr val="1F386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S13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02/11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15</xdr:col>
      <xdr:colOff>619125</xdr:colOff>
      <xdr:row>3</xdr:row>
      <xdr:rowOff>57150</xdr:rowOff>
    </xdr:from>
    <xdr:ext cx="809625" cy="457200"/>
    <xdr:sp>
      <xdr:nvSpPr>
        <xdr:cNvPr id="35" name="Shape 35"/>
        <xdr:cNvSpPr/>
      </xdr:nvSpPr>
      <xdr:spPr>
        <a:xfrm>
          <a:off x="4950713" y="3560925"/>
          <a:ext cx="790575" cy="438150"/>
        </a:xfrm>
        <a:prstGeom prst="rect">
          <a:avLst/>
        </a:prstGeom>
        <a:solidFill>
          <a:srgbClr val="1F386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S14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09/11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17</xdr:col>
      <xdr:colOff>0</xdr:colOff>
      <xdr:row>3</xdr:row>
      <xdr:rowOff>57150</xdr:rowOff>
    </xdr:from>
    <xdr:ext cx="819150" cy="457200"/>
    <xdr:sp>
      <xdr:nvSpPr>
        <xdr:cNvPr id="37" name="Shape 37"/>
        <xdr:cNvSpPr/>
      </xdr:nvSpPr>
      <xdr:spPr>
        <a:xfrm>
          <a:off x="4945950" y="3560925"/>
          <a:ext cx="800100" cy="438150"/>
        </a:xfrm>
        <a:prstGeom prst="rect">
          <a:avLst/>
        </a:prstGeom>
        <a:solidFill>
          <a:srgbClr val="1F386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S15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16/11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18</xdr:col>
      <xdr:colOff>104775</xdr:colOff>
      <xdr:row>3</xdr:row>
      <xdr:rowOff>57150</xdr:rowOff>
    </xdr:from>
    <xdr:ext cx="819150" cy="457200"/>
    <xdr:sp>
      <xdr:nvSpPr>
        <xdr:cNvPr id="39" name="Shape 39"/>
        <xdr:cNvSpPr/>
      </xdr:nvSpPr>
      <xdr:spPr>
        <a:xfrm>
          <a:off x="4945950" y="3560925"/>
          <a:ext cx="800100" cy="438150"/>
        </a:xfrm>
        <a:prstGeom prst="rect">
          <a:avLst/>
        </a:prstGeom>
        <a:solidFill>
          <a:srgbClr val="1F386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S16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23/11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19</xdr:col>
      <xdr:colOff>238125</xdr:colOff>
      <xdr:row>3</xdr:row>
      <xdr:rowOff>57150</xdr:rowOff>
    </xdr:from>
    <xdr:ext cx="819150" cy="457200"/>
    <xdr:sp>
      <xdr:nvSpPr>
        <xdr:cNvPr id="41" name="Shape 41"/>
        <xdr:cNvSpPr/>
      </xdr:nvSpPr>
      <xdr:spPr>
        <a:xfrm>
          <a:off x="4945950" y="3560925"/>
          <a:ext cx="800100" cy="438150"/>
        </a:xfrm>
        <a:prstGeom prst="rect">
          <a:avLst/>
        </a:prstGeom>
        <a:solidFill>
          <a:srgbClr val="1F386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S17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30/11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20</xdr:col>
      <xdr:colOff>361950</xdr:colOff>
      <xdr:row>3</xdr:row>
      <xdr:rowOff>57150</xdr:rowOff>
    </xdr:from>
    <xdr:ext cx="819150" cy="457200"/>
    <xdr:sp>
      <xdr:nvSpPr>
        <xdr:cNvPr id="43" name="Shape 43"/>
        <xdr:cNvSpPr/>
      </xdr:nvSpPr>
      <xdr:spPr>
        <a:xfrm>
          <a:off x="4945950" y="3560925"/>
          <a:ext cx="800100" cy="438150"/>
        </a:xfrm>
        <a:prstGeom prst="rect">
          <a:avLst/>
        </a:prstGeom>
        <a:solidFill>
          <a:srgbClr val="1F386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S18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8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07/12</a:t>
          </a:r>
          <a:endParaRPr b="0" sz="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485775</xdr:colOff>
      <xdr:row>6</xdr:row>
      <xdr:rowOff>0</xdr:rowOff>
    </xdr:from>
    <xdr:ext cx="3143250" cy="514350"/>
    <xdr:sp>
      <xdr:nvSpPr>
        <xdr:cNvPr id="45" name="Shape 45"/>
        <xdr:cNvSpPr/>
      </xdr:nvSpPr>
      <xdr:spPr>
        <a:xfrm>
          <a:off x="3779138" y="3532350"/>
          <a:ext cx="3133725" cy="495300"/>
        </a:xfrm>
        <a:prstGeom prst="rect">
          <a:avLst/>
        </a:prstGeom>
        <a:solidFill>
          <a:srgbClr val="4472C4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0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FASE 1 · DEFINICIÓN DEL PROYECTO</a:t>
          </a:r>
          <a:endParaRPr b="0" sz="10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238125</xdr:colOff>
      <xdr:row>6</xdr:row>
      <xdr:rowOff>0</xdr:rowOff>
    </xdr:from>
    <xdr:ext cx="7924800" cy="514350"/>
    <xdr:sp>
      <xdr:nvSpPr>
        <xdr:cNvPr id="46" name="Shape 46"/>
        <xdr:cNvSpPr/>
      </xdr:nvSpPr>
      <xdr:spPr>
        <a:xfrm>
          <a:off x="1388363" y="3532350"/>
          <a:ext cx="7915275" cy="495300"/>
        </a:xfrm>
        <a:prstGeom prst="rect">
          <a:avLst/>
        </a:prstGeom>
        <a:solidFill>
          <a:srgbClr val="70AD47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0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FASE 2 · DESARROLLO DEL MÓDULO</a:t>
          </a:r>
          <a:endParaRPr b="0" sz="10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17</xdr:col>
      <xdr:colOff>0</xdr:colOff>
      <xdr:row>6</xdr:row>
      <xdr:rowOff>0</xdr:rowOff>
    </xdr:from>
    <xdr:ext cx="3219450" cy="514350"/>
    <xdr:sp>
      <xdr:nvSpPr>
        <xdr:cNvPr id="47" name="Shape 47"/>
        <xdr:cNvSpPr/>
      </xdr:nvSpPr>
      <xdr:spPr>
        <a:xfrm>
          <a:off x="3745800" y="3532350"/>
          <a:ext cx="3200400" cy="495300"/>
        </a:xfrm>
        <a:prstGeom prst="rect">
          <a:avLst/>
        </a:prstGeom>
        <a:solidFill>
          <a:srgbClr val="ED7D31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0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FASE 3 · CIERRE Y PRESENTACIÓN</a:t>
          </a:r>
          <a:endParaRPr b="0" sz="10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485775</xdr:colOff>
      <xdr:row>8</xdr:row>
      <xdr:rowOff>161925</xdr:rowOff>
    </xdr:from>
    <xdr:ext cx="14211300" cy="400050"/>
    <xdr:sp>
      <xdr:nvSpPr>
        <xdr:cNvPr id="48" name="Shape 48"/>
        <xdr:cNvSpPr/>
      </xdr:nvSpPr>
      <xdr:spPr>
        <a:xfrm>
          <a:off x="0" y="3589500"/>
          <a:ext cx="10692000" cy="381000"/>
        </a:xfrm>
        <a:prstGeom prst="rect">
          <a:avLst/>
        </a:prstGeom>
        <a:solidFill>
          <a:srgbClr val="7030A0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1.1 GESTIÓN DEL PROYECTO · transversal a las 18 semanas (tablero, ceremonias XP, bitácora de decisiones, evidencias)</a:t>
          </a:r>
          <a:endParaRPr b="0" sz="9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238125</xdr:colOff>
      <xdr:row>11</xdr:row>
      <xdr:rowOff>19050</xdr:rowOff>
    </xdr:from>
    <xdr:ext cx="819150" cy="838200"/>
    <xdr:sp>
      <xdr:nvSpPr>
        <xdr:cNvPr id="49" name="Shape 49"/>
        <xdr:cNvSpPr/>
      </xdr:nvSpPr>
      <xdr:spPr>
        <a:xfrm>
          <a:off x="4945950" y="3370425"/>
          <a:ext cx="800100" cy="819150"/>
        </a:xfrm>
        <a:prstGeom prst="rect">
          <a:avLst/>
        </a:prstGeom>
        <a:solidFill>
          <a:srgbClr val="A9D08E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Iteración 1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Entorno de desarrollo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361950</xdr:colOff>
      <xdr:row>11</xdr:row>
      <xdr:rowOff>19050</xdr:rowOff>
    </xdr:from>
    <xdr:ext cx="819150" cy="838200"/>
    <xdr:sp>
      <xdr:nvSpPr>
        <xdr:cNvPr id="50" name="Shape 50"/>
        <xdr:cNvSpPr/>
      </xdr:nvSpPr>
      <xdr:spPr>
        <a:xfrm>
          <a:off x="4945950" y="3370425"/>
          <a:ext cx="800100" cy="819150"/>
        </a:xfrm>
        <a:prstGeom prst="rect">
          <a:avLst/>
        </a:prstGeom>
        <a:solidFill>
          <a:srgbClr val="A9D08E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Iteración 2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Modelo de datos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485775</xdr:colOff>
      <xdr:row>11</xdr:row>
      <xdr:rowOff>19050</xdr:rowOff>
    </xdr:from>
    <xdr:ext cx="819150" cy="838200"/>
    <xdr:sp>
      <xdr:nvSpPr>
        <xdr:cNvPr id="51" name="Shape 51"/>
        <xdr:cNvSpPr/>
      </xdr:nvSpPr>
      <xdr:spPr>
        <a:xfrm>
          <a:off x="4945950" y="3370425"/>
          <a:ext cx="800100" cy="819150"/>
        </a:xfrm>
        <a:prstGeom prst="rect">
          <a:avLst/>
        </a:prstGeom>
        <a:solidFill>
          <a:srgbClr val="A9D08E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Iteración 3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Servicios y pantalla Pregunta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619125</xdr:colOff>
      <xdr:row>11</xdr:row>
      <xdr:rowOff>19050</xdr:rowOff>
    </xdr:from>
    <xdr:ext cx="809625" cy="838200"/>
    <xdr:sp>
      <xdr:nvSpPr>
        <xdr:cNvPr id="52" name="Shape 52"/>
        <xdr:cNvSpPr/>
      </xdr:nvSpPr>
      <xdr:spPr>
        <a:xfrm>
          <a:off x="4950713" y="3370425"/>
          <a:ext cx="790575" cy="819150"/>
        </a:xfrm>
        <a:prstGeom prst="rect">
          <a:avLst/>
        </a:prstGeom>
        <a:solidFill>
          <a:srgbClr val="A9D08E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Iteración 4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Registro de respuesta y Resultado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0</xdr:colOff>
      <xdr:row>11</xdr:row>
      <xdr:rowOff>19050</xdr:rowOff>
    </xdr:from>
    <xdr:ext cx="819150" cy="838200"/>
    <xdr:sp>
      <xdr:nvSpPr>
        <xdr:cNvPr id="53" name="Shape 53"/>
        <xdr:cNvSpPr/>
      </xdr:nvSpPr>
      <xdr:spPr>
        <a:xfrm>
          <a:off x="4945950" y="3370425"/>
          <a:ext cx="800100" cy="819150"/>
        </a:xfrm>
        <a:prstGeom prst="rect">
          <a:avLst/>
        </a:prstGeom>
        <a:solidFill>
          <a:srgbClr val="A9D08E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Iteración 5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Explicación detallada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11</xdr:col>
      <xdr:colOff>104775</xdr:colOff>
      <xdr:row>11</xdr:row>
      <xdr:rowOff>19050</xdr:rowOff>
    </xdr:from>
    <xdr:ext cx="819150" cy="838200"/>
    <xdr:sp>
      <xdr:nvSpPr>
        <xdr:cNvPr id="54" name="Shape 54"/>
        <xdr:cNvSpPr/>
      </xdr:nvSpPr>
      <xdr:spPr>
        <a:xfrm>
          <a:off x="4945950" y="3370425"/>
          <a:ext cx="800100" cy="819150"/>
        </a:xfrm>
        <a:prstGeom prst="rect">
          <a:avLst/>
        </a:prstGeom>
        <a:solidFill>
          <a:srgbClr val="A9D08E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Iteración 6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Habilidad y ruta de aprendizaje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238125</xdr:colOff>
      <xdr:row>11</xdr:row>
      <xdr:rowOff>19050</xdr:rowOff>
    </xdr:from>
    <xdr:ext cx="819150" cy="838200"/>
    <xdr:sp>
      <xdr:nvSpPr>
        <xdr:cNvPr id="55" name="Shape 55"/>
        <xdr:cNvSpPr/>
      </xdr:nvSpPr>
      <xdr:spPr>
        <a:xfrm>
          <a:off x="4945950" y="3370425"/>
          <a:ext cx="800100" cy="819150"/>
        </a:xfrm>
        <a:prstGeom prst="rect">
          <a:avLst/>
        </a:prstGeom>
        <a:solidFill>
          <a:srgbClr val="A9D08E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Iteración 7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Cuota diaria y desbloqueo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361950</xdr:colOff>
      <xdr:row>11</xdr:row>
      <xdr:rowOff>19050</xdr:rowOff>
    </xdr:from>
    <xdr:ext cx="819150" cy="838200"/>
    <xdr:sp>
      <xdr:nvSpPr>
        <xdr:cNvPr id="56" name="Shape 56"/>
        <xdr:cNvSpPr/>
      </xdr:nvSpPr>
      <xdr:spPr>
        <a:xfrm>
          <a:off x="4945950" y="3370425"/>
          <a:ext cx="800100" cy="819150"/>
        </a:xfrm>
        <a:prstGeom prst="rect">
          <a:avLst/>
        </a:prstGeom>
        <a:solidFill>
          <a:srgbClr val="A9D08E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Iteración 8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Recorrección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14</xdr:col>
      <xdr:colOff>485775</xdr:colOff>
      <xdr:row>11</xdr:row>
      <xdr:rowOff>19050</xdr:rowOff>
    </xdr:from>
    <xdr:ext cx="819150" cy="838200"/>
    <xdr:sp>
      <xdr:nvSpPr>
        <xdr:cNvPr id="57" name="Shape 57"/>
        <xdr:cNvSpPr/>
      </xdr:nvSpPr>
      <xdr:spPr>
        <a:xfrm>
          <a:off x="4945950" y="3370425"/>
          <a:ext cx="800100" cy="819150"/>
        </a:xfrm>
        <a:prstGeom prst="rect">
          <a:avLst/>
        </a:prstGeom>
        <a:solidFill>
          <a:srgbClr val="A9D08E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Iteración 9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Caché sin conexión y progreso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15</xdr:col>
      <xdr:colOff>619125</xdr:colOff>
      <xdr:row>11</xdr:row>
      <xdr:rowOff>19050</xdr:rowOff>
    </xdr:from>
    <xdr:ext cx="809625" cy="838200"/>
    <xdr:sp>
      <xdr:nvSpPr>
        <xdr:cNvPr id="58" name="Shape 58"/>
        <xdr:cNvSpPr/>
      </xdr:nvSpPr>
      <xdr:spPr>
        <a:xfrm>
          <a:off x="4950713" y="3370425"/>
          <a:ext cx="790575" cy="819150"/>
        </a:xfrm>
        <a:prstGeom prst="rect">
          <a:avLst/>
        </a:prstGeom>
        <a:solidFill>
          <a:srgbClr val="A9D08E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Iteración 10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274E13"/>
              </a:solidFill>
              <a:latin typeface="Calibri"/>
              <a:ea typeface="Calibri"/>
              <a:cs typeface="Calibri"/>
              <a:sym typeface="Calibri"/>
            </a:rPr>
            <a:t>Pruebas, Docker y compilación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238125</xdr:colOff>
      <xdr:row>15</xdr:row>
      <xdr:rowOff>123825</xdr:rowOff>
    </xdr:from>
    <xdr:ext cx="819150" cy="857250"/>
    <xdr:sp>
      <xdr:nvSpPr>
        <xdr:cNvPr id="59" name="Shape 59"/>
        <xdr:cNvSpPr/>
      </xdr:nvSpPr>
      <xdr:spPr>
        <a:xfrm>
          <a:off x="4945950" y="3360900"/>
          <a:ext cx="800100" cy="838200"/>
        </a:xfrm>
        <a:prstGeom prst="rect">
          <a:avLst/>
        </a:prstGeom>
        <a:solidFill>
          <a:srgbClr val="C00000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Exposición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Fase 1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485775</xdr:colOff>
      <xdr:row>15</xdr:row>
      <xdr:rowOff>123825</xdr:rowOff>
    </xdr:from>
    <xdr:ext cx="819150" cy="857250"/>
    <xdr:sp>
      <xdr:nvSpPr>
        <xdr:cNvPr id="60" name="Shape 60"/>
        <xdr:cNvSpPr/>
      </xdr:nvSpPr>
      <xdr:spPr>
        <a:xfrm>
          <a:off x="4945950" y="3360900"/>
          <a:ext cx="800100" cy="838200"/>
        </a:xfrm>
        <a:prstGeom prst="rect">
          <a:avLst/>
        </a:prstGeom>
        <a:solidFill>
          <a:srgbClr val="C00000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ENTREGA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FUNCIONAL 1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11</xdr:col>
      <xdr:colOff>104775</xdr:colOff>
      <xdr:row>15</xdr:row>
      <xdr:rowOff>123825</xdr:rowOff>
    </xdr:from>
    <xdr:ext cx="819150" cy="857250"/>
    <xdr:sp>
      <xdr:nvSpPr>
        <xdr:cNvPr id="61" name="Shape 61"/>
        <xdr:cNvSpPr/>
      </xdr:nvSpPr>
      <xdr:spPr>
        <a:xfrm>
          <a:off x="4945950" y="3360900"/>
          <a:ext cx="800100" cy="838200"/>
        </a:xfrm>
        <a:prstGeom prst="rect">
          <a:avLst/>
        </a:prstGeom>
        <a:solidFill>
          <a:srgbClr val="C00000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ENTREGA FUNC. 2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+ Informe de Avance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15</xdr:col>
      <xdr:colOff>619125</xdr:colOff>
      <xdr:row>15</xdr:row>
      <xdr:rowOff>123825</xdr:rowOff>
    </xdr:from>
    <xdr:ext cx="809625" cy="857250"/>
    <xdr:sp>
      <xdr:nvSpPr>
        <xdr:cNvPr id="62" name="Shape 62"/>
        <xdr:cNvSpPr/>
      </xdr:nvSpPr>
      <xdr:spPr>
        <a:xfrm>
          <a:off x="4950713" y="3360900"/>
          <a:ext cx="790575" cy="838200"/>
        </a:xfrm>
        <a:prstGeom prst="rect">
          <a:avLst/>
        </a:prstGeom>
        <a:solidFill>
          <a:srgbClr val="C00000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ENTREGA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FUNCIONAL 3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17</xdr:col>
      <xdr:colOff>0</xdr:colOff>
      <xdr:row>15</xdr:row>
      <xdr:rowOff>123825</xdr:rowOff>
    </xdr:from>
    <xdr:ext cx="819150" cy="857250"/>
    <xdr:sp>
      <xdr:nvSpPr>
        <xdr:cNvPr id="63" name="Shape 63"/>
        <xdr:cNvSpPr/>
      </xdr:nvSpPr>
      <xdr:spPr>
        <a:xfrm>
          <a:off x="4945950" y="3360900"/>
          <a:ext cx="800100" cy="838200"/>
        </a:xfrm>
        <a:prstGeom prst="rect">
          <a:avLst/>
        </a:prstGeom>
        <a:solidFill>
          <a:srgbClr val="C00000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Informe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Final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19</xdr:col>
      <xdr:colOff>238125</xdr:colOff>
      <xdr:row>15</xdr:row>
      <xdr:rowOff>123825</xdr:rowOff>
    </xdr:from>
    <xdr:ext cx="819150" cy="857250"/>
    <xdr:sp>
      <xdr:nvSpPr>
        <xdr:cNvPr id="64" name="Shape 64"/>
        <xdr:cNvSpPr/>
      </xdr:nvSpPr>
      <xdr:spPr>
        <a:xfrm>
          <a:off x="4945950" y="3360900"/>
          <a:ext cx="800100" cy="838200"/>
        </a:xfrm>
        <a:prstGeom prst="rect">
          <a:avLst/>
        </a:prstGeom>
        <a:solidFill>
          <a:srgbClr val="C00000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Presentación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comisión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20</xdr:col>
      <xdr:colOff>361950</xdr:colOff>
      <xdr:row>15</xdr:row>
      <xdr:rowOff>123825</xdr:rowOff>
    </xdr:from>
    <xdr:ext cx="819150" cy="857250"/>
    <xdr:sp>
      <xdr:nvSpPr>
        <xdr:cNvPr id="65" name="Shape 65"/>
        <xdr:cNvSpPr/>
      </xdr:nvSpPr>
      <xdr:spPr>
        <a:xfrm>
          <a:off x="4945950" y="3360900"/>
          <a:ext cx="800100" cy="838200"/>
        </a:xfrm>
        <a:prstGeom prst="rect">
          <a:avLst/>
        </a:prstGeom>
        <a:solidFill>
          <a:srgbClr val="C00000"/>
        </a:solidFill>
        <a:ln cap="flat" cmpd="sng" w="127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2600" lIns="12600" spcFirstLastPara="1" rIns="12600" wrap="square" tIns="126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Presentación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750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empresas (*)</a:t>
          </a:r>
          <a:endParaRPr b="0" sz="75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95250</xdr:colOff>
      <xdr:row>2</xdr:row>
      <xdr:rowOff>19050</xdr:rowOff>
    </xdr:from>
    <xdr:ext cx="1704975" cy="5238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5.0"/>
    <col customWidth="1" min="2" max="2" width="42.0"/>
    <col customWidth="1" min="3" max="3" width="20.0"/>
    <col customWidth="1" min="4" max="4" width="11.0"/>
    <col customWidth="1" min="5" max="22" width="4.57"/>
  </cols>
  <sheetData>
    <row r="1" ht="37.5" customHeight="1">
      <c r="A1" s="1"/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4.75" customHeight="1">
      <c r="A2" s="2" t="s">
        <v>11</v>
      </c>
    </row>
    <row r="3">
      <c r="A3" s="4" t="s">
        <v>12</v>
      </c>
    </row>
    <row r="4">
      <c r="A4" s="4" t="s">
        <v>14</v>
      </c>
    </row>
    <row r="6" ht="15.0" customHeight="1">
      <c r="A6" s="8" t="s">
        <v>16</v>
      </c>
      <c r="B6" s="8" t="s">
        <v>20</v>
      </c>
      <c r="C6" s="8" t="s">
        <v>21</v>
      </c>
      <c r="D6" s="8" t="s">
        <v>5</v>
      </c>
      <c r="E6" s="10" t="s">
        <v>25</v>
      </c>
      <c r="F6" s="12"/>
      <c r="G6" s="12"/>
      <c r="H6" s="13"/>
      <c r="I6" s="15" t="s">
        <v>28</v>
      </c>
      <c r="J6" s="12"/>
      <c r="K6" s="12"/>
      <c r="L6" s="12"/>
      <c r="M6" s="12"/>
      <c r="N6" s="12"/>
      <c r="O6" s="12"/>
      <c r="P6" s="12"/>
      <c r="Q6" s="12"/>
      <c r="R6" s="12"/>
      <c r="S6" s="13"/>
      <c r="T6" s="16" t="s">
        <v>34</v>
      </c>
      <c r="U6" s="12"/>
      <c r="V6" s="13"/>
    </row>
    <row r="7">
      <c r="A7" s="17"/>
      <c r="B7" s="17"/>
      <c r="C7" s="17"/>
      <c r="D7" s="17"/>
      <c r="E7" s="19" t="s">
        <v>38</v>
      </c>
      <c r="F7" s="19" t="s">
        <v>40</v>
      </c>
      <c r="G7" s="19" t="s">
        <v>42</v>
      </c>
      <c r="H7" s="19" t="s">
        <v>44</v>
      </c>
      <c r="I7" s="19" t="s">
        <v>39</v>
      </c>
      <c r="J7" s="19" t="s">
        <v>46</v>
      </c>
      <c r="K7" s="19" t="s">
        <v>47</v>
      </c>
      <c r="L7" s="19" t="s">
        <v>49</v>
      </c>
      <c r="M7" s="19" t="s">
        <v>50</v>
      </c>
      <c r="N7" s="19" t="s">
        <v>52</v>
      </c>
      <c r="O7" s="19" t="s">
        <v>54</v>
      </c>
      <c r="P7" s="19" t="s">
        <v>56</v>
      </c>
      <c r="Q7" s="19" t="s">
        <v>57</v>
      </c>
      <c r="R7" s="19" t="s">
        <v>64</v>
      </c>
      <c r="S7" s="19" t="s">
        <v>65</v>
      </c>
      <c r="T7" s="19" t="s">
        <v>66</v>
      </c>
      <c r="U7" s="19" t="s">
        <v>67</v>
      </c>
      <c r="V7" s="19" t="s">
        <v>69</v>
      </c>
    </row>
    <row r="8">
      <c r="A8" s="22"/>
      <c r="B8" s="22"/>
      <c r="C8" s="22"/>
      <c r="D8" s="22"/>
      <c r="E8" s="24" t="s">
        <v>71</v>
      </c>
      <c r="F8" s="24" t="s">
        <v>75</v>
      </c>
      <c r="G8" s="24" t="s">
        <v>77</v>
      </c>
      <c r="H8" s="24" t="s">
        <v>78</v>
      </c>
      <c r="I8" s="24" t="s">
        <v>79</v>
      </c>
      <c r="J8" s="24" t="s">
        <v>80</v>
      </c>
      <c r="K8" s="24" t="s">
        <v>81</v>
      </c>
      <c r="L8" s="24" t="s">
        <v>83</v>
      </c>
      <c r="M8" s="24" t="s">
        <v>84</v>
      </c>
      <c r="N8" s="24" t="s">
        <v>86</v>
      </c>
      <c r="O8" s="24" t="s">
        <v>87</v>
      </c>
      <c r="P8" s="24" t="s">
        <v>89</v>
      </c>
      <c r="Q8" s="24" t="s">
        <v>90</v>
      </c>
      <c r="R8" s="24" t="s">
        <v>92</v>
      </c>
      <c r="S8" s="24" t="s">
        <v>94</v>
      </c>
      <c r="T8" s="24" t="s">
        <v>95</v>
      </c>
      <c r="U8" s="24" t="s">
        <v>97</v>
      </c>
      <c r="V8" s="24" t="s">
        <v>98</v>
      </c>
    </row>
    <row r="9" ht="19.5" customHeight="1">
      <c r="A9" s="26" t="s">
        <v>100</v>
      </c>
      <c r="B9" s="27" t="s">
        <v>103</v>
      </c>
      <c r="C9" s="28"/>
      <c r="D9" s="29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</row>
    <row r="10" ht="19.5" customHeight="1">
      <c r="A10" s="31" t="s">
        <v>116</v>
      </c>
      <c r="B10" s="32" t="s">
        <v>117</v>
      </c>
      <c r="C10" s="33" t="s">
        <v>119</v>
      </c>
      <c r="D10" s="34" t="s">
        <v>120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</row>
    <row r="11" ht="19.5" customHeight="1">
      <c r="A11" s="31" t="s">
        <v>132</v>
      </c>
      <c r="B11" s="32" t="s">
        <v>133</v>
      </c>
      <c r="C11" s="33" t="s">
        <v>119</v>
      </c>
      <c r="D11" s="34" t="s">
        <v>120</v>
      </c>
      <c r="E11" s="36"/>
      <c r="F11" s="36"/>
      <c r="G11" s="36"/>
      <c r="H11" s="36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6"/>
      <c r="T11" s="36"/>
      <c r="U11" s="36"/>
      <c r="V11" s="36"/>
    </row>
    <row r="12" ht="19.5" customHeight="1">
      <c r="A12" s="31" t="s">
        <v>142</v>
      </c>
      <c r="B12" s="32" t="s">
        <v>143</v>
      </c>
      <c r="C12" s="33" t="s">
        <v>119</v>
      </c>
      <c r="D12" s="34" t="s">
        <v>120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</row>
    <row r="13" ht="19.5" customHeight="1">
      <c r="A13" s="31" t="s">
        <v>148</v>
      </c>
      <c r="B13" s="32" t="s">
        <v>149</v>
      </c>
      <c r="C13" s="33" t="s">
        <v>150</v>
      </c>
      <c r="D13" s="34" t="s">
        <v>120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</row>
    <row r="14" ht="19.5" customHeight="1">
      <c r="A14" s="26" t="s">
        <v>154</v>
      </c>
      <c r="B14" s="27" t="s">
        <v>155</v>
      </c>
      <c r="C14" s="28"/>
      <c r="D14" s="29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</row>
    <row r="15" ht="19.5" customHeight="1">
      <c r="A15" s="31" t="s">
        <v>156</v>
      </c>
      <c r="B15" s="32" t="s">
        <v>157</v>
      </c>
      <c r="C15" s="33" t="s">
        <v>119</v>
      </c>
      <c r="D15" s="34" t="s">
        <v>158</v>
      </c>
      <c r="E15" s="37"/>
      <c r="F15" s="37"/>
      <c r="G15" s="37"/>
      <c r="H15" s="37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ht="19.5" customHeight="1">
      <c r="A16" s="31" t="s">
        <v>159</v>
      </c>
      <c r="B16" s="32" t="s">
        <v>160</v>
      </c>
      <c r="C16" s="33" t="s">
        <v>119</v>
      </c>
      <c r="D16" s="34" t="s">
        <v>158</v>
      </c>
      <c r="E16" s="37"/>
      <c r="F16" s="37"/>
      <c r="G16" s="37"/>
      <c r="H16" s="37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</row>
    <row r="17" ht="19.5" customHeight="1">
      <c r="A17" s="31" t="s">
        <v>161</v>
      </c>
      <c r="B17" s="32" t="s">
        <v>162</v>
      </c>
      <c r="C17" s="33" t="s">
        <v>163</v>
      </c>
      <c r="D17" s="34" t="s">
        <v>158</v>
      </c>
      <c r="E17" s="36"/>
      <c r="F17" s="37"/>
      <c r="G17" s="37"/>
      <c r="H17" s="37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 ht="19.5" customHeight="1">
      <c r="A18" s="31" t="s">
        <v>164</v>
      </c>
      <c r="B18" s="32" t="s">
        <v>165</v>
      </c>
      <c r="C18" s="33" t="s">
        <v>163</v>
      </c>
      <c r="D18" s="34" t="s">
        <v>158</v>
      </c>
      <c r="E18" s="36"/>
      <c r="F18" s="37"/>
      <c r="G18" s="37"/>
      <c r="H18" s="37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</row>
    <row r="19" ht="19.5" customHeight="1">
      <c r="A19" s="31" t="s">
        <v>166</v>
      </c>
      <c r="B19" s="32" t="s">
        <v>167</v>
      </c>
      <c r="C19" s="33" t="s">
        <v>163</v>
      </c>
      <c r="D19" s="34" t="s">
        <v>158</v>
      </c>
      <c r="E19" s="36"/>
      <c r="F19" s="37"/>
      <c r="G19" s="37"/>
      <c r="H19" s="37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</row>
    <row r="20" ht="19.5" customHeight="1">
      <c r="A20" s="31" t="s">
        <v>168</v>
      </c>
      <c r="B20" s="32" t="s">
        <v>169</v>
      </c>
      <c r="C20" s="33" t="s">
        <v>163</v>
      </c>
      <c r="D20" s="34" t="s">
        <v>158</v>
      </c>
      <c r="E20" s="36"/>
      <c r="F20" s="37"/>
      <c r="G20" s="37"/>
      <c r="H20" s="37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</row>
    <row r="21" ht="19.5" customHeight="1">
      <c r="A21" s="31" t="s">
        <v>170</v>
      </c>
      <c r="B21" s="32" t="s">
        <v>171</v>
      </c>
      <c r="C21" s="33" t="s">
        <v>45</v>
      </c>
      <c r="D21" s="34" t="s">
        <v>158</v>
      </c>
      <c r="E21" s="36"/>
      <c r="F21" s="37"/>
      <c r="G21" s="37"/>
      <c r="H21" s="37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</row>
    <row r="22" ht="19.5" customHeight="1">
      <c r="A22" s="31" t="s">
        <v>172</v>
      </c>
      <c r="B22" s="32" t="s">
        <v>173</v>
      </c>
      <c r="C22" s="33" t="s">
        <v>119</v>
      </c>
      <c r="D22" s="34" t="s">
        <v>158</v>
      </c>
      <c r="E22" s="36"/>
      <c r="F22" s="37"/>
      <c r="G22" s="37"/>
      <c r="H22" s="37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 ht="19.5" customHeight="1">
      <c r="A23" s="31" t="s">
        <v>174</v>
      </c>
      <c r="B23" s="32" t="s">
        <v>175</v>
      </c>
      <c r="C23" s="33" t="s">
        <v>45</v>
      </c>
      <c r="D23" s="34" t="s">
        <v>158</v>
      </c>
      <c r="E23" s="36"/>
      <c r="F23" s="37"/>
      <c r="G23" s="37"/>
      <c r="H23" s="37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</row>
    <row r="24" ht="19.5" customHeight="1">
      <c r="A24" s="31" t="s">
        <v>177</v>
      </c>
      <c r="B24" s="32" t="s">
        <v>178</v>
      </c>
      <c r="C24" s="33" t="s">
        <v>45</v>
      </c>
      <c r="D24" s="34" t="s">
        <v>158</v>
      </c>
      <c r="E24" s="36"/>
      <c r="F24" s="36"/>
      <c r="G24" s="37"/>
      <c r="H24" s="37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</row>
    <row r="25" ht="19.5" customHeight="1">
      <c r="A25" s="31" t="s">
        <v>180</v>
      </c>
      <c r="B25" s="32" t="s">
        <v>181</v>
      </c>
      <c r="C25" s="33" t="s">
        <v>45</v>
      </c>
      <c r="D25" s="34" t="s">
        <v>158</v>
      </c>
      <c r="E25" s="37"/>
      <c r="F25" s="37"/>
      <c r="G25" s="37"/>
      <c r="H25" s="37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 ht="19.5" customHeight="1">
      <c r="A26" s="31" t="s">
        <v>188</v>
      </c>
      <c r="B26" s="32" t="s">
        <v>189</v>
      </c>
      <c r="C26" s="33" t="s">
        <v>45</v>
      </c>
      <c r="D26" s="34" t="s">
        <v>158</v>
      </c>
      <c r="E26" s="36"/>
      <c r="F26" s="36"/>
      <c r="G26" s="36"/>
      <c r="H26" s="36"/>
      <c r="I26" s="42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  <row r="27" ht="19.5" customHeight="1">
      <c r="A27" s="26" t="s">
        <v>190</v>
      </c>
      <c r="B27" s="27" t="s">
        <v>191</v>
      </c>
      <c r="C27" s="28"/>
      <c r="D27" s="29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</row>
    <row r="28" ht="19.5" customHeight="1">
      <c r="A28" s="31" t="s">
        <v>193</v>
      </c>
      <c r="B28" s="32" t="s">
        <v>194</v>
      </c>
      <c r="C28" s="33" t="s">
        <v>45</v>
      </c>
      <c r="D28" s="34" t="s">
        <v>195</v>
      </c>
      <c r="E28" s="36"/>
      <c r="F28" s="36"/>
      <c r="G28" s="36"/>
      <c r="H28" s="36"/>
      <c r="I28" s="44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 ht="19.5" customHeight="1">
      <c r="A29" s="31" t="s">
        <v>196</v>
      </c>
      <c r="B29" s="32" t="s">
        <v>197</v>
      </c>
      <c r="C29" s="33" t="s">
        <v>60</v>
      </c>
      <c r="D29" s="34" t="s">
        <v>195</v>
      </c>
      <c r="E29" s="36"/>
      <c r="F29" s="36"/>
      <c r="G29" s="36"/>
      <c r="H29" s="36"/>
      <c r="I29" s="36"/>
      <c r="J29" s="44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r="30" ht="19.5" customHeight="1">
      <c r="A30" s="31" t="s">
        <v>198</v>
      </c>
      <c r="B30" s="32" t="s">
        <v>199</v>
      </c>
      <c r="C30" s="33" t="s">
        <v>60</v>
      </c>
      <c r="D30" s="34" t="s">
        <v>195</v>
      </c>
      <c r="E30" s="36"/>
      <c r="F30" s="36"/>
      <c r="G30" s="36"/>
      <c r="H30" s="36"/>
      <c r="I30" s="36"/>
      <c r="J30" s="36"/>
      <c r="K30" s="44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r="31" ht="19.5" customHeight="1">
      <c r="A31" s="31"/>
      <c r="B31" s="32" t="s">
        <v>200</v>
      </c>
      <c r="C31" s="33" t="s">
        <v>45</v>
      </c>
      <c r="D31" s="34" t="s">
        <v>195</v>
      </c>
      <c r="E31" s="36"/>
      <c r="F31" s="36"/>
      <c r="G31" s="36"/>
      <c r="H31" s="36"/>
      <c r="I31" s="36"/>
      <c r="J31" s="36"/>
      <c r="K31" s="42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 ht="19.5" customHeight="1">
      <c r="A32" s="31" t="s">
        <v>201</v>
      </c>
      <c r="B32" s="32" t="s">
        <v>202</v>
      </c>
      <c r="C32" s="33" t="s">
        <v>60</v>
      </c>
      <c r="D32" s="34" t="s">
        <v>195</v>
      </c>
      <c r="E32" s="36"/>
      <c r="F32" s="36"/>
      <c r="G32" s="36"/>
      <c r="H32" s="36"/>
      <c r="I32" s="36"/>
      <c r="J32" s="36"/>
      <c r="K32" s="36"/>
      <c r="L32" s="44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ht="19.5" customHeight="1">
      <c r="A33" s="31" t="s">
        <v>203</v>
      </c>
      <c r="B33" s="32" t="s">
        <v>204</v>
      </c>
      <c r="C33" s="33" t="s">
        <v>60</v>
      </c>
      <c r="D33" s="34" t="s">
        <v>195</v>
      </c>
      <c r="E33" s="36"/>
      <c r="F33" s="36"/>
      <c r="G33" s="36"/>
      <c r="H33" s="36"/>
      <c r="I33" s="36"/>
      <c r="J33" s="36"/>
      <c r="K33" s="36"/>
      <c r="L33" s="36"/>
      <c r="M33" s="44"/>
      <c r="N33" s="36"/>
      <c r="O33" s="36"/>
      <c r="P33" s="36"/>
      <c r="Q33" s="36"/>
      <c r="R33" s="36"/>
      <c r="S33" s="36"/>
      <c r="T33" s="36"/>
      <c r="U33" s="36"/>
      <c r="V33" s="36"/>
    </row>
    <row r="34" ht="19.5" customHeight="1">
      <c r="A34" s="31" t="s">
        <v>205</v>
      </c>
      <c r="B34" s="32" t="s">
        <v>206</v>
      </c>
      <c r="C34" s="33" t="s">
        <v>60</v>
      </c>
      <c r="D34" s="34" t="s">
        <v>195</v>
      </c>
      <c r="E34" s="36"/>
      <c r="F34" s="36"/>
      <c r="G34" s="36"/>
      <c r="H34" s="36"/>
      <c r="I34" s="36"/>
      <c r="J34" s="36"/>
      <c r="K34" s="36"/>
      <c r="L34" s="36"/>
      <c r="M34" s="36"/>
      <c r="N34" s="44"/>
      <c r="O34" s="36"/>
      <c r="P34" s="36"/>
      <c r="Q34" s="36"/>
      <c r="R34" s="36"/>
      <c r="S34" s="36"/>
      <c r="T34" s="36"/>
      <c r="U34" s="36"/>
      <c r="V34" s="36"/>
    </row>
    <row r="35" ht="19.5" customHeight="1">
      <c r="A35" s="31"/>
      <c r="B35" s="32" t="s">
        <v>209</v>
      </c>
      <c r="C35" s="33" t="s">
        <v>45</v>
      </c>
      <c r="D35" s="34" t="s">
        <v>195</v>
      </c>
      <c r="E35" s="36"/>
      <c r="F35" s="36"/>
      <c r="G35" s="36"/>
      <c r="H35" s="36"/>
      <c r="I35" s="36"/>
      <c r="J35" s="36"/>
      <c r="K35" s="36"/>
      <c r="L35" s="36"/>
      <c r="M35" s="36"/>
      <c r="N35" s="42"/>
      <c r="O35" s="36"/>
      <c r="P35" s="36"/>
      <c r="Q35" s="36"/>
      <c r="R35" s="36"/>
      <c r="S35" s="36"/>
      <c r="T35" s="36"/>
      <c r="U35" s="36"/>
      <c r="V35" s="36"/>
    </row>
    <row r="36" ht="19.5" customHeight="1">
      <c r="A36" s="31" t="s">
        <v>212</v>
      </c>
      <c r="B36" s="32" t="s">
        <v>104</v>
      </c>
      <c r="C36" s="33" t="s">
        <v>45</v>
      </c>
      <c r="D36" s="34" t="s">
        <v>195</v>
      </c>
      <c r="E36" s="36"/>
      <c r="F36" s="36"/>
      <c r="G36" s="36"/>
      <c r="H36" s="36"/>
      <c r="I36" s="36"/>
      <c r="J36" s="36"/>
      <c r="K36" s="36"/>
      <c r="L36" s="36"/>
      <c r="M36" s="36"/>
      <c r="N36" s="42"/>
      <c r="O36" s="36"/>
      <c r="P36" s="36"/>
      <c r="Q36" s="36"/>
      <c r="R36" s="36"/>
      <c r="S36" s="36"/>
      <c r="T36" s="36"/>
      <c r="U36" s="36"/>
      <c r="V36" s="36"/>
    </row>
    <row r="37" ht="19.5" customHeight="1">
      <c r="A37" s="31" t="s">
        <v>214</v>
      </c>
      <c r="B37" s="32" t="s">
        <v>216</v>
      </c>
      <c r="C37" s="33" t="s">
        <v>60</v>
      </c>
      <c r="D37" s="34" t="s">
        <v>195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44"/>
      <c r="P37" s="36"/>
      <c r="Q37" s="36"/>
      <c r="R37" s="36"/>
      <c r="S37" s="36"/>
      <c r="T37" s="36"/>
      <c r="U37" s="36"/>
      <c r="V37" s="36"/>
    </row>
    <row r="38" ht="19.5" customHeight="1">
      <c r="A38" s="31" t="s">
        <v>217</v>
      </c>
      <c r="B38" s="32" t="s">
        <v>218</v>
      </c>
      <c r="C38" s="33" t="s">
        <v>60</v>
      </c>
      <c r="D38" s="34" t="s">
        <v>195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44"/>
      <c r="Q38" s="36"/>
      <c r="R38" s="36"/>
      <c r="S38" s="36"/>
      <c r="T38" s="36"/>
      <c r="U38" s="36"/>
      <c r="V38" s="36"/>
    </row>
    <row r="39" ht="19.5" customHeight="1">
      <c r="A39" s="31" t="s">
        <v>219</v>
      </c>
      <c r="B39" s="32" t="s">
        <v>220</v>
      </c>
      <c r="C39" s="33" t="s">
        <v>60</v>
      </c>
      <c r="D39" s="34" t="s">
        <v>195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44"/>
      <c r="R39" s="36"/>
      <c r="S39" s="36"/>
      <c r="T39" s="36"/>
      <c r="U39" s="36"/>
      <c r="V39" s="36"/>
    </row>
    <row r="40" ht="19.5" customHeight="1">
      <c r="A40" s="31" t="s">
        <v>222</v>
      </c>
      <c r="B40" s="32" t="s">
        <v>223</v>
      </c>
      <c r="C40" s="33" t="s">
        <v>45</v>
      </c>
      <c r="D40" s="34" t="s">
        <v>195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44"/>
      <c r="S40" s="36"/>
      <c r="T40" s="36"/>
      <c r="U40" s="36"/>
      <c r="V40" s="36"/>
    </row>
    <row r="41" ht="19.5" customHeight="1">
      <c r="A41" s="31"/>
      <c r="B41" s="32" t="s">
        <v>225</v>
      </c>
      <c r="C41" s="33" t="s">
        <v>45</v>
      </c>
      <c r="D41" s="34" t="s">
        <v>195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42"/>
      <c r="S41" s="36"/>
      <c r="T41" s="36"/>
      <c r="U41" s="36"/>
      <c r="V41" s="36"/>
    </row>
    <row r="42" ht="19.5" customHeight="1">
      <c r="A42" s="31" t="s">
        <v>228</v>
      </c>
      <c r="B42" s="32" t="s">
        <v>229</v>
      </c>
      <c r="C42" s="33" t="s">
        <v>45</v>
      </c>
      <c r="D42" s="34" t="s">
        <v>195</v>
      </c>
      <c r="E42" s="36"/>
      <c r="F42" s="36"/>
      <c r="G42" s="36"/>
      <c r="H42" s="36"/>
      <c r="I42" s="36"/>
      <c r="J42" s="44"/>
      <c r="K42" s="44"/>
      <c r="L42" s="44"/>
      <c r="M42" s="44"/>
      <c r="N42" s="44"/>
      <c r="O42" s="44"/>
      <c r="P42" s="44"/>
      <c r="Q42" s="44"/>
      <c r="R42" s="44"/>
      <c r="S42" s="36"/>
      <c r="T42" s="36"/>
      <c r="U42" s="36"/>
      <c r="V42" s="36"/>
    </row>
    <row r="43" ht="19.5" customHeight="1">
      <c r="A43" s="31" t="s">
        <v>232</v>
      </c>
      <c r="B43" s="32" t="s">
        <v>139</v>
      </c>
      <c r="C43" s="33" t="s">
        <v>45</v>
      </c>
      <c r="D43" s="34" t="s">
        <v>195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42"/>
      <c r="T43" s="36"/>
      <c r="U43" s="36"/>
      <c r="V43" s="36"/>
    </row>
    <row r="44" ht="19.5" customHeight="1">
      <c r="A44" s="26" t="s">
        <v>234</v>
      </c>
      <c r="B44" s="27" t="s">
        <v>235</v>
      </c>
      <c r="C44" s="28"/>
      <c r="D44" s="29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</row>
    <row r="45" ht="19.5" customHeight="1">
      <c r="A45" s="31" t="s">
        <v>239</v>
      </c>
      <c r="B45" s="32" t="s">
        <v>233</v>
      </c>
      <c r="C45" s="33" t="s">
        <v>45</v>
      </c>
      <c r="D45" s="34" t="s">
        <v>236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48"/>
      <c r="T45" s="36"/>
      <c r="U45" s="36"/>
      <c r="V45" s="36"/>
    </row>
    <row r="46" ht="19.5" customHeight="1">
      <c r="A46" s="31" t="s">
        <v>242</v>
      </c>
      <c r="B46" s="32" t="s">
        <v>237</v>
      </c>
      <c r="C46" s="33" t="s">
        <v>45</v>
      </c>
      <c r="D46" s="34" t="s">
        <v>236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48"/>
      <c r="U46" s="48"/>
      <c r="V46" s="36"/>
    </row>
    <row r="47" ht="19.5" customHeight="1">
      <c r="A47" s="31" t="s">
        <v>246</v>
      </c>
      <c r="B47" s="32" t="s">
        <v>238</v>
      </c>
      <c r="C47" s="33" t="s">
        <v>45</v>
      </c>
      <c r="D47" s="34" t="s">
        <v>236</v>
      </c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42"/>
      <c r="V47" s="36"/>
    </row>
    <row r="48" ht="19.5" customHeight="1">
      <c r="A48" s="31" t="s">
        <v>249</v>
      </c>
      <c r="B48" s="32" t="s">
        <v>240</v>
      </c>
      <c r="C48" s="33" t="s">
        <v>45</v>
      </c>
      <c r="D48" s="34" t="s">
        <v>236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42"/>
    </row>
    <row r="49" ht="15.75" customHeight="1"/>
    <row r="50" ht="15.75" customHeight="1">
      <c r="B50" s="55" t="s">
        <v>241</v>
      </c>
    </row>
    <row r="51" ht="15.75" customHeight="1">
      <c r="A51" s="35"/>
      <c r="B51" s="56" t="s">
        <v>250</v>
      </c>
    </row>
    <row r="52" ht="15.75" customHeight="1">
      <c r="A52" s="37"/>
      <c r="B52" s="56" t="s">
        <v>251</v>
      </c>
    </row>
    <row r="53" ht="15.75" customHeight="1">
      <c r="A53" s="44"/>
      <c r="B53" s="56" t="s">
        <v>252</v>
      </c>
    </row>
    <row r="54" ht="15.75" customHeight="1">
      <c r="A54" s="48"/>
      <c r="B54" s="56" t="s">
        <v>253</v>
      </c>
    </row>
    <row r="55" ht="15.75" customHeight="1">
      <c r="A55" s="42"/>
      <c r="B55" s="56" t="s">
        <v>254</v>
      </c>
    </row>
    <row r="56" ht="15.75" customHeight="1"/>
    <row r="57" ht="15.75" customHeight="1">
      <c r="B57" s="57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E6:H6"/>
    <mergeCell ref="I6:S6"/>
    <mergeCell ref="A2:V2"/>
    <mergeCell ref="A3:V3"/>
    <mergeCell ref="A4:V4"/>
    <mergeCell ref="A6:A8"/>
    <mergeCell ref="B6:B8"/>
    <mergeCell ref="C6:C8"/>
    <mergeCell ref="D6:D8"/>
    <mergeCell ref="T6:V6"/>
  </mergeCells>
  <printOptions/>
  <pageMargins bottom="1.0" footer="0.0" header="0.0" left="0.75" right="0.75" top="1.0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3" width="12.0"/>
    <col customWidth="1" min="4" max="4" width="22.0"/>
    <col customWidth="1" min="5" max="5" width="13.0"/>
    <col customWidth="1" min="6" max="6" width="30.0"/>
  </cols>
  <sheetData>
    <row r="1" ht="24.75" customHeight="1">
      <c r="A1" s="2" t="s">
        <v>0</v>
      </c>
    </row>
    <row r="2">
      <c r="A2" s="4" t="s">
        <v>1</v>
      </c>
    </row>
    <row r="3" ht="49.5" customHeight="1"/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>
      <c r="A5" s="6">
        <v>1.0</v>
      </c>
      <c r="B5" s="6" t="s">
        <v>8</v>
      </c>
      <c r="C5" s="6" t="s">
        <v>9</v>
      </c>
      <c r="D5" s="7" t="s">
        <v>10</v>
      </c>
      <c r="E5" s="6"/>
      <c r="F5" s="7"/>
    </row>
    <row r="6">
      <c r="A6" s="6">
        <v>2.0</v>
      </c>
      <c r="B6" s="6" t="s">
        <v>13</v>
      </c>
      <c r="C6" s="6" t="s">
        <v>15</v>
      </c>
      <c r="D6" s="7" t="s">
        <v>10</v>
      </c>
      <c r="E6" s="6"/>
      <c r="F6" s="7"/>
    </row>
    <row r="7">
      <c r="A7" s="6">
        <v>3.0</v>
      </c>
      <c r="B7" s="6" t="s">
        <v>17</v>
      </c>
      <c r="C7" s="6" t="s">
        <v>19</v>
      </c>
      <c r="D7" s="7" t="s">
        <v>10</v>
      </c>
      <c r="E7" s="6"/>
      <c r="F7" s="7"/>
    </row>
    <row r="8">
      <c r="A8" s="9">
        <v>4.0</v>
      </c>
      <c r="B8" s="9" t="s">
        <v>22</v>
      </c>
      <c r="C8" s="9" t="s">
        <v>24</v>
      </c>
      <c r="D8" s="11" t="s">
        <v>10</v>
      </c>
      <c r="E8" s="9"/>
      <c r="F8" s="14" t="s">
        <v>26</v>
      </c>
    </row>
    <row r="9">
      <c r="A9" s="9">
        <v>5.0</v>
      </c>
      <c r="B9" s="9" t="s">
        <v>31</v>
      </c>
      <c r="C9" s="9" t="s">
        <v>32</v>
      </c>
      <c r="D9" s="11" t="s">
        <v>35</v>
      </c>
      <c r="E9" s="9" t="s">
        <v>36</v>
      </c>
      <c r="F9" s="14" t="s">
        <v>37</v>
      </c>
    </row>
    <row r="10">
      <c r="A10" s="6">
        <v>6.0</v>
      </c>
      <c r="B10" s="6" t="s">
        <v>48</v>
      </c>
      <c r="C10" s="6" t="s">
        <v>51</v>
      </c>
      <c r="D10" s="7" t="s">
        <v>55</v>
      </c>
      <c r="E10" s="6" t="s">
        <v>53</v>
      </c>
      <c r="F10" s="7"/>
    </row>
    <row r="11">
      <c r="A11" s="6">
        <v>7.0</v>
      </c>
      <c r="B11" s="6" t="s">
        <v>62</v>
      </c>
      <c r="C11" s="6" t="s">
        <v>63</v>
      </c>
      <c r="D11" s="7" t="s">
        <v>55</v>
      </c>
      <c r="E11" s="6" t="s">
        <v>61</v>
      </c>
      <c r="F11" s="7"/>
    </row>
    <row r="12">
      <c r="A12" s="6">
        <v>8.0</v>
      </c>
      <c r="B12" s="6" t="s">
        <v>72</v>
      </c>
      <c r="C12" s="6" t="s">
        <v>73</v>
      </c>
      <c r="D12" s="7" t="s">
        <v>55</v>
      </c>
      <c r="E12" s="6" t="s">
        <v>76</v>
      </c>
      <c r="F12" s="7"/>
    </row>
    <row r="13">
      <c r="A13" s="6">
        <v>9.0</v>
      </c>
      <c r="B13" s="6" t="s">
        <v>82</v>
      </c>
      <c r="C13" s="6" t="s">
        <v>85</v>
      </c>
      <c r="D13" s="7" t="s">
        <v>55</v>
      </c>
      <c r="E13" s="6" t="s">
        <v>91</v>
      </c>
      <c r="F13" s="7"/>
    </row>
    <row r="14">
      <c r="A14" s="9">
        <v>10.0</v>
      </c>
      <c r="B14" s="9" t="s">
        <v>96</v>
      </c>
      <c r="C14" s="9" t="s">
        <v>99</v>
      </c>
      <c r="D14" s="11" t="s">
        <v>55</v>
      </c>
      <c r="E14" s="9" t="s">
        <v>102</v>
      </c>
      <c r="F14" s="14" t="s">
        <v>104</v>
      </c>
    </row>
    <row r="15">
      <c r="A15" s="6">
        <v>11.0</v>
      </c>
      <c r="B15" s="6" t="s">
        <v>106</v>
      </c>
      <c r="C15" s="6" t="s">
        <v>107</v>
      </c>
      <c r="D15" s="7" t="s">
        <v>55</v>
      </c>
      <c r="E15" s="6" t="s">
        <v>110</v>
      </c>
      <c r="F15" s="7"/>
    </row>
    <row r="16">
      <c r="A16" s="6">
        <v>12.0</v>
      </c>
      <c r="B16" s="6" t="s">
        <v>112</v>
      </c>
      <c r="C16" s="6" t="s">
        <v>113</v>
      </c>
      <c r="D16" s="7" t="s">
        <v>55</v>
      </c>
      <c r="E16" s="6" t="s">
        <v>118</v>
      </c>
      <c r="F16" s="7"/>
    </row>
    <row r="17">
      <c r="A17" s="6">
        <v>13.0</v>
      </c>
      <c r="B17" s="6" t="s">
        <v>122</v>
      </c>
      <c r="C17" s="6" t="s">
        <v>124</v>
      </c>
      <c r="D17" s="7" t="s">
        <v>55</v>
      </c>
      <c r="E17" s="6" t="s">
        <v>125</v>
      </c>
      <c r="F17" s="7"/>
    </row>
    <row r="18">
      <c r="A18" s="6">
        <v>14.0</v>
      </c>
      <c r="B18" s="6" t="s">
        <v>128</v>
      </c>
      <c r="C18" s="6" t="s">
        <v>130</v>
      </c>
      <c r="D18" s="7" t="s">
        <v>55</v>
      </c>
      <c r="E18" s="6" t="s">
        <v>131</v>
      </c>
      <c r="F18" s="7"/>
    </row>
    <row r="19">
      <c r="A19" s="9">
        <v>15.0</v>
      </c>
      <c r="B19" s="9" t="s">
        <v>135</v>
      </c>
      <c r="C19" s="9" t="s">
        <v>137</v>
      </c>
      <c r="D19" s="11" t="s">
        <v>55</v>
      </c>
      <c r="E19" s="9"/>
      <c r="F19" s="14" t="s">
        <v>139</v>
      </c>
    </row>
    <row r="20">
      <c r="A20" s="6">
        <v>16.0</v>
      </c>
      <c r="B20" s="6" t="s">
        <v>140</v>
      </c>
      <c r="C20" s="6" t="s">
        <v>141</v>
      </c>
      <c r="D20" s="7" t="s">
        <v>144</v>
      </c>
      <c r="E20" s="6"/>
      <c r="F20" s="7"/>
    </row>
    <row r="21" ht="15.75" customHeight="1">
      <c r="A21" s="9">
        <v>17.0</v>
      </c>
      <c r="B21" s="9" t="s">
        <v>145</v>
      </c>
      <c r="C21" s="9" t="s">
        <v>146</v>
      </c>
      <c r="D21" s="11" t="s">
        <v>144</v>
      </c>
      <c r="E21" s="9"/>
      <c r="F21" s="14" t="s">
        <v>147</v>
      </c>
    </row>
    <row r="22" ht="15.75" customHeight="1">
      <c r="A22" s="9">
        <v>18.0</v>
      </c>
      <c r="B22" s="9" t="s">
        <v>151</v>
      </c>
      <c r="C22" s="9" t="s">
        <v>152</v>
      </c>
      <c r="D22" s="11" t="s">
        <v>144</v>
      </c>
      <c r="E22" s="9"/>
      <c r="F22" s="14" t="s">
        <v>153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9.0"/>
    <col customWidth="1" min="3" max="3" width="22.0"/>
    <col customWidth="1" min="4" max="4" width="52.0"/>
    <col customWidth="1" min="5" max="5" width="22.0"/>
    <col customWidth="1" min="6" max="6" width="20.0"/>
  </cols>
  <sheetData>
    <row r="1" ht="24.75" customHeight="1">
      <c r="A1" s="2" t="s">
        <v>18</v>
      </c>
    </row>
    <row r="2">
      <c r="A2" s="4" t="s">
        <v>23</v>
      </c>
    </row>
    <row r="3" ht="49.5" customHeight="1"/>
    <row r="4">
      <c r="A4" s="5" t="s">
        <v>6</v>
      </c>
      <c r="B4" s="5" t="s">
        <v>2</v>
      </c>
      <c r="C4" s="5" t="s">
        <v>27</v>
      </c>
      <c r="D4" s="5" t="s">
        <v>29</v>
      </c>
      <c r="E4" s="5" t="s">
        <v>30</v>
      </c>
      <c r="F4" s="5" t="s">
        <v>33</v>
      </c>
    </row>
    <row r="5" ht="25.5" customHeight="1">
      <c r="A5" s="18" t="s">
        <v>36</v>
      </c>
      <c r="B5" s="18" t="s">
        <v>39</v>
      </c>
      <c r="C5" s="18" t="s">
        <v>41</v>
      </c>
      <c r="D5" s="20" t="s">
        <v>43</v>
      </c>
      <c r="E5" s="20" t="s">
        <v>45</v>
      </c>
      <c r="F5" s="18"/>
    </row>
    <row r="6" ht="25.5" customHeight="1">
      <c r="A6" s="18" t="s">
        <v>53</v>
      </c>
      <c r="B6" s="18" t="s">
        <v>46</v>
      </c>
      <c r="C6" s="18" t="s">
        <v>58</v>
      </c>
      <c r="D6" s="20" t="s">
        <v>59</v>
      </c>
      <c r="E6" s="20" t="s">
        <v>60</v>
      </c>
      <c r="F6" s="18"/>
    </row>
    <row r="7" ht="25.5" customHeight="1">
      <c r="A7" s="21" t="s">
        <v>61</v>
      </c>
      <c r="B7" s="21" t="s">
        <v>47</v>
      </c>
      <c r="C7" s="21" t="s">
        <v>68</v>
      </c>
      <c r="D7" s="23" t="s">
        <v>70</v>
      </c>
      <c r="E7" s="23" t="s">
        <v>60</v>
      </c>
      <c r="F7" s="25" t="s">
        <v>74</v>
      </c>
    </row>
    <row r="8" ht="25.5" customHeight="1">
      <c r="A8" s="18" t="s">
        <v>76</v>
      </c>
      <c r="B8" s="18" t="s">
        <v>49</v>
      </c>
      <c r="C8" s="18" t="s">
        <v>88</v>
      </c>
      <c r="D8" s="20" t="s">
        <v>93</v>
      </c>
      <c r="E8" s="20" t="s">
        <v>60</v>
      </c>
      <c r="F8" s="18"/>
    </row>
    <row r="9" ht="25.5" customHeight="1">
      <c r="A9" s="18" t="s">
        <v>91</v>
      </c>
      <c r="B9" s="18" t="s">
        <v>50</v>
      </c>
      <c r="C9" s="18" t="s">
        <v>101</v>
      </c>
      <c r="D9" s="20" t="s">
        <v>105</v>
      </c>
      <c r="E9" s="20" t="s">
        <v>60</v>
      </c>
      <c r="F9" s="18"/>
    </row>
    <row r="10" ht="25.5" customHeight="1">
      <c r="A10" s="21" t="s">
        <v>102</v>
      </c>
      <c r="B10" s="21" t="s">
        <v>52</v>
      </c>
      <c r="C10" s="21" t="s">
        <v>108</v>
      </c>
      <c r="D10" s="23" t="s">
        <v>109</v>
      </c>
      <c r="E10" s="23" t="s">
        <v>60</v>
      </c>
      <c r="F10" s="25" t="s">
        <v>111</v>
      </c>
    </row>
    <row r="11" ht="25.5" customHeight="1">
      <c r="A11" s="18" t="s">
        <v>110</v>
      </c>
      <c r="B11" s="18" t="s">
        <v>54</v>
      </c>
      <c r="C11" s="18" t="s">
        <v>114</v>
      </c>
      <c r="D11" s="20" t="s">
        <v>115</v>
      </c>
      <c r="E11" s="20" t="s">
        <v>60</v>
      </c>
      <c r="F11" s="18"/>
    </row>
    <row r="12" ht="25.5" customHeight="1">
      <c r="A12" s="18" t="s">
        <v>118</v>
      </c>
      <c r="B12" s="18" t="s">
        <v>56</v>
      </c>
      <c r="C12" s="18" t="s">
        <v>121</v>
      </c>
      <c r="D12" s="20" t="s">
        <v>123</v>
      </c>
      <c r="E12" s="20" t="s">
        <v>60</v>
      </c>
      <c r="F12" s="18"/>
    </row>
    <row r="13" ht="25.5" customHeight="1">
      <c r="A13" s="18" t="s">
        <v>125</v>
      </c>
      <c r="B13" s="18" t="s">
        <v>57</v>
      </c>
      <c r="C13" s="18" t="s">
        <v>126</v>
      </c>
      <c r="D13" s="20" t="s">
        <v>127</v>
      </c>
      <c r="E13" s="20" t="s">
        <v>129</v>
      </c>
      <c r="F13" s="18"/>
    </row>
    <row r="14" ht="25.5" customHeight="1">
      <c r="A14" s="21" t="s">
        <v>131</v>
      </c>
      <c r="B14" s="21" t="s">
        <v>64</v>
      </c>
      <c r="C14" s="21" t="s">
        <v>134</v>
      </c>
      <c r="D14" s="23" t="s">
        <v>136</v>
      </c>
      <c r="E14" s="23" t="s">
        <v>45</v>
      </c>
      <c r="F14" s="25" t="s">
        <v>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57"/>
    <col customWidth="1" min="2" max="8" width="14.86"/>
  </cols>
  <sheetData>
    <row r="1" ht="24.75" customHeight="1">
      <c r="A1" s="2" t="s">
        <v>176</v>
      </c>
      <c r="D1" s="38"/>
      <c r="E1" s="38"/>
    </row>
    <row r="2">
      <c r="A2" s="3" t="s">
        <v>179</v>
      </c>
      <c r="B2" s="38">
        <v>46244.0</v>
      </c>
      <c r="D2" s="38"/>
      <c r="E2" s="38"/>
    </row>
    <row r="3" ht="49.5" customHeight="1">
      <c r="A3" s="39"/>
      <c r="D3" s="38"/>
      <c r="E3" s="38"/>
    </row>
    <row r="4">
      <c r="A4" s="40" t="s">
        <v>20</v>
      </c>
      <c r="B4" s="40" t="s">
        <v>182</v>
      </c>
      <c r="C4" s="40" t="s">
        <v>183</v>
      </c>
      <c r="D4" s="41" t="s">
        <v>184</v>
      </c>
      <c r="E4" s="41" t="s">
        <v>185</v>
      </c>
      <c r="F4" s="40" t="s">
        <v>5</v>
      </c>
      <c r="G4" s="40" t="s">
        <v>186</v>
      </c>
      <c r="H4" s="40" t="s">
        <v>187</v>
      </c>
    </row>
    <row r="5">
      <c r="A5" s="3" t="s">
        <v>117</v>
      </c>
      <c r="B5" s="43">
        <f t="shared" ref="B5:B40" si="1">(G5-1)*7</f>
        <v>0</v>
      </c>
      <c r="C5" s="43">
        <f t="shared" ref="C5:C40" si="2">(H5-G5+1)*7-1</f>
        <v>125</v>
      </c>
      <c r="D5" s="38">
        <f t="shared" ref="D5:D40" si="3">$B$2+B5</f>
        <v>46244</v>
      </c>
      <c r="E5" s="38">
        <f t="shared" ref="E5:E40" si="4">D5+C5-1</f>
        <v>46368</v>
      </c>
      <c r="F5" s="3" t="s">
        <v>192</v>
      </c>
      <c r="G5" s="3">
        <v>1.0</v>
      </c>
      <c r="H5" s="3">
        <v>18.0</v>
      </c>
    </row>
    <row r="6">
      <c r="A6" s="3" t="s">
        <v>133</v>
      </c>
      <c r="B6" s="43">
        <f t="shared" si="1"/>
        <v>28</v>
      </c>
      <c r="C6" s="43">
        <f t="shared" si="2"/>
        <v>69</v>
      </c>
      <c r="D6" s="38">
        <f t="shared" si="3"/>
        <v>46272</v>
      </c>
      <c r="E6" s="38">
        <f t="shared" si="4"/>
        <v>46340</v>
      </c>
      <c r="F6" s="3" t="s">
        <v>192</v>
      </c>
      <c r="G6" s="3">
        <v>5.0</v>
      </c>
      <c r="H6" s="3">
        <v>14.0</v>
      </c>
    </row>
    <row r="7">
      <c r="A7" s="3" t="s">
        <v>143</v>
      </c>
      <c r="B7" s="43">
        <f t="shared" si="1"/>
        <v>0</v>
      </c>
      <c r="C7" s="43">
        <f t="shared" si="2"/>
        <v>125</v>
      </c>
      <c r="D7" s="38">
        <f t="shared" si="3"/>
        <v>46244</v>
      </c>
      <c r="E7" s="38">
        <f t="shared" si="4"/>
        <v>46368</v>
      </c>
      <c r="F7" s="3" t="s">
        <v>192</v>
      </c>
      <c r="G7" s="3">
        <v>1.0</v>
      </c>
      <c r="H7" s="3">
        <v>18.0</v>
      </c>
    </row>
    <row r="8">
      <c r="A8" s="3" t="s">
        <v>149</v>
      </c>
      <c r="B8" s="43">
        <f t="shared" si="1"/>
        <v>0</v>
      </c>
      <c r="C8" s="43">
        <f t="shared" si="2"/>
        <v>125</v>
      </c>
      <c r="D8" s="38">
        <f t="shared" si="3"/>
        <v>46244</v>
      </c>
      <c r="E8" s="38">
        <f t="shared" si="4"/>
        <v>46368</v>
      </c>
      <c r="F8" s="3" t="s">
        <v>192</v>
      </c>
      <c r="G8" s="3">
        <v>1.0</v>
      </c>
      <c r="H8" s="3">
        <v>18.0</v>
      </c>
    </row>
    <row r="9">
      <c r="A9" s="3" t="s">
        <v>157</v>
      </c>
      <c r="B9" s="43">
        <f t="shared" si="1"/>
        <v>0</v>
      </c>
      <c r="C9" s="43">
        <f t="shared" si="2"/>
        <v>27</v>
      </c>
      <c r="D9" s="38">
        <f t="shared" si="3"/>
        <v>46244</v>
      </c>
      <c r="E9" s="38">
        <f t="shared" si="4"/>
        <v>46270</v>
      </c>
      <c r="F9" s="3" t="s">
        <v>158</v>
      </c>
      <c r="G9" s="3">
        <v>1.0</v>
      </c>
      <c r="H9" s="3">
        <v>4.0</v>
      </c>
    </row>
    <row r="10">
      <c r="A10" s="3" t="s">
        <v>160</v>
      </c>
      <c r="B10" s="43">
        <f t="shared" si="1"/>
        <v>0</v>
      </c>
      <c r="C10" s="43">
        <f t="shared" si="2"/>
        <v>27</v>
      </c>
      <c r="D10" s="38">
        <f t="shared" si="3"/>
        <v>46244</v>
      </c>
      <c r="E10" s="38">
        <f t="shared" si="4"/>
        <v>46270</v>
      </c>
      <c r="F10" s="3" t="s">
        <v>158</v>
      </c>
      <c r="G10" s="3">
        <v>1.0</v>
      </c>
      <c r="H10" s="3">
        <v>4.0</v>
      </c>
    </row>
    <row r="11">
      <c r="A11" s="3" t="s">
        <v>162</v>
      </c>
      <c r="B11" s="43">
        <f t="shared" si="1"/>
        <v>7</v>
      </c>
      <c r="C11" s="43">
        <f t="shared" si="2"/>
        <v>20</v>
      </c>
      <c r="D11" s="38">
        <f t="shared" si="3"/>
        <v>46251</v>
      </c>
      <c r="E11" s="38">
        <f t="shared" si="4"/>
        <v>46270</v>
      </c>
      <c r="F11" s="3" t="s">
        <v>158</v>
      </c>
      <c r="G11" s="3">
        <v>2.0</v>
      </c>
      <c r="H11" s="3">
        <v>4.0</v>
      </c>
    </row>
    <row r="12">
      <c r="A12" s="3" t="s">
        <v>165</v>
      </c>
      <c r="B12" s="43">
        <f t="shared" si="1"/>
        <v>7</v>
      </c>
      <c r="C12" s="43">
        <f t="shared" si="2"/>
        <v>20</v>
      </c>
      <c r="D12" s="38">
        <f t="shared" si="3"/>
        <v>46251</v>
      </c>
      <c r="E12" s="38">
        <f t="shared" si="4"/>
        <v>46270</v>
      </c>
      <c r="F12" s="3" t="s">
        <v>158</v>
      </c>
      <c r="G12" s="3">
        <v>2.0</v>
      </c>
      <c r="H12" s="3">
        <v>4.0</v>
      </c>
    </row>
    <row r="13">
      <c r="A13" s="3" t="s">
        <v>167</v>
      </c>
      <c r="B13" s="43">
        <f t="shared" si="1"/>
        <v>7</v>
      </c>
      <c r="C13" s="43">
        <f t="shared" si="2"/>
        <v>20</v>
      </c>
      <c r="D13" s="38">
        <f t="shared" si="3"/>
        <v>46251</v>
      </c>
      <c r="E13" s="38">
        <f t="shared" si="4"/>
        <v>46270</v>
      </c>
      <c r="F13" s="3" t="s">
        <v>158</v>
      </c>
      <c r="G13" s="3">
        <v>2.0</v>
      </c>
      <c r="H13" s="3">
        <v>4.0</v>
      </c>
    </row>
    <row r="14">
      <c r="A14" s="3" t="s">
        <v>169</v>
      </c>
      <c r="B14" s="43">
        <f t="shared" si="1"/>
        <v>7</v>
      </c>
      <c r="C14" s="43">
        <f t="shared" si="2"/>
        <v>20</v>
      </c>
      <c r="D14" s="38">
        <f t="shared" si="3"/>
        <v>46251</v>
      </c>
      <c r="E14" s="38">
        <f t="shared" si="4"/>
        <v>46270</v>
      </c>
      <c r="F14" s="3" t="s">
        <v>158</v>
      </c>
      <c r="G14" s="3">
        <v>2.0</v>
      </c>
      <c r="H14" s="3">
        <v>4.0</v>
      </c>
    </row>
    <row r="15">
      <c r="A15" s="3" t="s">
        <v>171</v>
      </c>
      <c r="B15" s="43">
        <f t="shared" si="1"/>
        <v>7</v>
      </c>
      <c r="C15" s="43">
        <f t="shared" si="2"/>
        <v>20</v>
      </c>
      <c r="D15" s="38">
        <f t="shared" si="3"/>
        <v>46251</v>
      </c>
      <c r="E15" s="38">
        <f t="shared" si="4"/>
        <v>46270</v>
      </c>
      <c r="F15" s="3" t="s">
        <v>158</v>
      </c>
      <c r="G15" s="3">
        <v>2.0</v>
      </c>
      <c r="H15" s="3">
        <v>4.0</v>
      </c>
    </row>
    <row r="16">
      <c r="A16" s="3" t="s">
        <v>173</v>
      </c>
      <c r="B16" s="43">
        <f t="shared" si="1"/>
        <v>7</v>
      </c>
      <c r="C16" s="43">
        <f t="shared" si="2"/>
        <v>20</v>
      </c>
      <c r="D16" s="38">
        <f t="shared" si="3"/>
        <v>46251</v>
      </c>
      <c r="E16" s="38">
        <f t="shared" si="4"/>
        <v>46270</v>
      </c>
      <c r="F16" s="3" t="s">
        <v>158</v>
      </c>
      <c r="G16" s="3">
        <v>2.0</v>
      </c>
      <c r="H16" s="3">
        <v>4.0</v>
      </c>
    </row>
    <row r="17">
      <c r="A17" s="3" t="s">
        <v>175</v>
      </c>
      <c r="B17" s="43">
        <f t="shared" si="1"/>
        <v>7</v>
      </c>
      <c r="C17" s="43">
        <f t="shared" si="2"/>
        <v>20</v>
      </c>
      <c r="D17" s="38">
        <f t="shared" si="3"/>
        <v>46251</v>
      </c>
      <c r="E17" s="38">
        <f t="shared" si="4"/>
        <v>46270</v>
      </c>
      <c r="F17" s="3" t="s">
        <v>158</v>
      </c>
      <c r="G17" s="3">
        <v>2.0</v>
      </c>
      <c r="H17" s="3">
        <v>4.0</v>
      </c>
    </row>
    <row r="18">
      <c r="A18" s="3" t="s">
        <v>178</v>
      </c>
      <c r="B18" s="43">
        <f t="shared" si="1"/>
        <v>14</v>
      </c>
      <c r="C18" s="43">
        <f t="shared" si="2"/>
        <v>13</v>
      </c>
      <c r="D18" s="38">
        <f t="shared" si="3"/>
        <v>46258</v>
      </c>
      <c r="E18" s="38">
        <f t="shared" si="4"/>
        <v>46270</v>
      </c>
      <c r="F18" s="3" t="s">
        <v>158</v>
      </c>
      <c r="G18" s="3">
        <v>3.0</v>
      </c>
      <c r="H18" s="3">
        <v>4.0</v>
      </c>
    </row>
    <row r="19">
      <c r="A19" s="3" t="s">
        <v>181</v>
      </c>
      <c r="B19" s="43">
        <f t="shared" si="1"/>
        <v>0</v>
      </c>
      <c r="C19" s="43">
        <f t="shared" si="2"/>
        <v>27</v>
      </c>
      <c r="D19" s="38">
        <f t="shared" si="3"/>
        <v>46244</v>
      </c>
      <c r="E19" s="38">
        <f t="shared" si="4"/>
        <v>46270</v>
      </c>
      <c r="F19" s="3" t="s">
        <v>158</v>
      </c>
      <c r="G19" s="3">
        <v>1.0</v>
      </c>
      <c r="H19" s="3">
        <v>4.0</v>
      </c>
    </row>
    <row r="20">
      <c r="A20" s="3" t="s">
        <v>189</v>
      </c>
      <c r="B20" s="43">
        <f t="shared" si="1"/>
        <v>28</v>
      </c>
      <c r="C20" s="43">
        <f t="shared" si="2"/>
        <v>6</v>
      </c>
      <c r="D20" s="38">
        <f t="shared" si="3"/>
        <v>46272</v>
      </c>
      <c r="E20" s="38">
        <f t="shared" si="4"/>
        <v>46277</v>
      </c>
      <c r="F20" s="3" t="s">
        <v>207</v>
      </c>
      <c r="G20" s="3">
        <v>5.0</v>
      </c>
      <c r="H20" s="3">
        <v>5.0</v>
      </c>
    </row>
    <row r="21" ht="15.75" customHeight="1">
      <c r="A21" s="3" t="s">
        <v>208</v>
      </c>
      <c r="B21" s="43">
        <f t="shared" si="1"/>
        <v>28</v>
      </c>
      <c r="C21" s="43">
        <f t="shared" si="2"/>
        <v>6</v>
      </c>
      <c r="D21" s="38">
        <f t="shared" si="3"/>
        <v>46272</v>
      </c>
      <c r="E21" s="38">
        <f t="shared" si="4"/>
        <v>46277</v>
      </c>
      <c r="F21" s="3" t="s">
        <v>195</v>
      </c>
      <c r="G21" s="3">
        <v>5.0</v>
      </c>
      <c r="H21" s="3">
        <v>5.0</v>
      </c>
    </row>
    <row r="22" ht="15.75" customHeight="1">
      <c r="A22" s="3" t="s">
        <v>210</v>
      </c>
      <c r="B22" s="43">
        <f t="shared" si="1"/>
        <v>35</v>
      </c>
      <c r="C22" s="43">
        <f t="shared" si="2"/>
        <v>6</v>
      </c>
      <c r="D22" s="38">
        <f t="shared" si="3"/>
        <v>46279</v>
      </c>
      <c r="E22" s="38">
        <f t="shared" si="4"/>
        <v>46284</v>
      </c>
      <c r="F22" s="3" t="s">
        <v>195</v>
      </c>
      <c r="G22" s="3">
        <v>6.0</v>
      </c>
      <c r="H22" s="3">
        <v>6.0</v>
      </c>
    </row>
    <row r="23" ht="15.75" customHeight="1">
      <c r="A23" s="3" t="s">
        <v>211</v>
      </c>
      <c r="B23" s="43">
        <f t="shared" si="1"/>
        <v>42</v>
      </c>
      <c r="C23" s="43">
        <f t="shared" si="2"/>
        <v>6</v>
      </c>
      <c r="D23" s="38">
        <f t="shared" si="3"/>
        <v>46286</v>
      </c>
      <c r="E23" s="38">
        <f t="shared" si="4"/>
        <v>46291</v>
      </c>
      <c r="F23" s="3" t="s">
        <v>195</v>
      </c>
      <c r="G23" s="3">
        <v>7.0</v>
      </c>
      <c r="H23" s="3">
        <v>7.0</v>
      </c>
    </row>
    <row r="24" ht="15.75" customHeight="1">
      <c r="A24" s="3" t="s">
        <v>200</v>
      </c>
      <c r="B24" s="43">
        <f t="shared" si="1"/>
        <v>42</v>
      </c>
      <c r="C24" s="43">
        <f t="shared" si="2"/>
        <v>6</v>
      </c>
      <c r="D24" s="38">
        <f t="shared" si="3"/>
        <v>46286</v>
      </c>
      <c r="E24" s="38">
        <f t="shared" si="4"/>
        <v>46291</v>
      </c>
      <c r="F24" s="3" t="s">
        <v>207</v>
      </c>
      <c r="G24" s="3">
        <v>7.0</v>
      </c>
      <c r="H24" s="3">
        <v>7.0</v>
      </c>
    </row>
    <row r="25" ht="15.75" customHeight="1">
      <c r="A25" s="3" t="s">
        <v>215</v>
      </c>
      <c r="B25" s="43">
        <f t="shared" si="1"/>
        <v>49</v>
      </c>
      <c r="C25" s="43">
        <f t="shared" si="2"/>
        <v>6</v>
      </c>
      <c r="D25" s="38">
        <f t="shared" si="3"/>
        <v>46293</v>
      </c>
      <c r="E25" s="38">
        <f t="shared" si="4"/>
        <v>46298</v>
      </c>
      <c r="F25" s="3" t="s">
        <v>195</v>
      </c>
      <c r="G25" s="3">
        <v>8.0</v>
      </c>
      <c r="H25" s="3">
        <v>8.0</v>
      </c>
    </row>
    <row r="26" ht="15.75" customHeight="1">
      <c r="A26" s="3" t="s">
        <v>204</v>
      </c>
      <c r="B26" s="43">
        <f t="shared" si="1"/>
        <v>56</v>
      </c>
      <c r="C26" s="43">
        <f t="shared" si="2"/>
        <v>6</v>
      </c>
      <c r="D26" s="38">
        <f t="shared" si="3"/>
        <v>46300</v>
      </c>
      <c r="E26" s="38">
        <f t="shared" si="4"/>
        <v>46305</v>
      </c>
      <c r="F26" s="3" t="s">
        <v>195</v>
      </c>
      <c r="G26" s="3">
        <v>9.0</v>
      </c>
      <c r="H26" s="3">
        <v>9.0</v>
      </c>
    </row>
    <row r="27" ht="15.75" customHeight="1">
      <c r="A27" s="3" t="s">
        <v>206</v>
      </c>
      <c r="B27" s="43">
        <f t="shared" si="1"/>
        <v>63</v>
      </c>
      <c r="C27" s="43">
        <f t="shared" si="2"/>
        <v>6</v>
      </c>
      <c r="D27" s="38">
        <f t="shared" si="3"/>
        <v>46307</v>
      </c>
      <c r="E27" s="38">
        <f t="shared" si="4"/>
        <v>46312</v>
      </c>
      <c r="F27" s="3" t="s">
        <v>195</v>
      </c>
      <c r="G27" s="3">
        <v>10.0</v>
      </c>
      <c r="H27" s="3">
        <v>10.0</v>
      </c>
    </row>
    <row r="28" ht="15.75" customHeight="1">
      <c r="A28" s="3" t="s">
        <v>209</v>
      </c>
      <c r="B28" s="43">
        <f t="shared" si="1"/>
        <v>63</v>
      </c>
      <c r="C28" s="43">
        <f t="shared" si="2"/>
        <v>6</v>
      </c>
      <c r="D28" s="38">
        <f t="shared" si="3"/>
        <v>46307</v>
      </c>
      <c r="E28" s="38">
        <f t="shared" si="4"/>
        <v>46312</v>
      </c>
      <c r="F28" s="3" t="s">
        <v>207</v>
      </c>
      <c r="G28" s="3">
        <v>10.0</v>
      </c>
      <c r="H28" s="3">
        <v>10.0</v>
      </c>
    </row>
    <row r="29" ht="15.75" customHeight="1">
      <c r="A29" s="3" t="s">
        <v>104</v>
      </c>
      <c r="B29" s="43">
        <f t="shared" si="1"/>
        <v>63</v>
      </c>
      <c r="C29" s="43">
        <f t="shared" si="2"/>
        <v>6</v>
      </c>
      <c r="D29" s="38">
        <f t="shared" si="3"/>
        <v>46307</v>
      </c>
      <c r="E29" s="38">
        <f t="shared" si="4"/>
        <v>46312</v>
      </c>
      <c r="F29" s="3" t="s">
        <v>207</v>
      </c>
      <c r="G29" s="3">
        <v>10.0</v>
      </c>
      <c r="H29" s="3">
        <v>10.0</v>
      </c>
    </row>
    <row r="30" ht="15.75" customHeight="1">
      <c r="A30" s="3" t="s">
        <v>221</v>
      </c>
      <c r="B30" s="43">
        <f t="shared" si="1"/>
        <v>70</v>
      </c>
      <c r="C30" s="43">
        <f t="shared" si="2"/>
        <v>6</v>
      </c>
      <c r="D30" s="38">
        <f t="shared" si="3"/>
        <v>46314</v>
      </c>
      <c r="E30" s="38">
        <f t="shared" si="4"/>
        <v>46319</v>
      </c>
      <c r="F30" s="3" t="s">
        <v>195</v>
      </c>
      <c r="G30" s="3">
        <v>11.0</v>
      </c>
      <c r="H30" s="3">
        <v>11.0</v>
      </c>
    </row>
    <row r="31" ht="15.75" customHeight="1">
      <c r="A31" s="3" t="s">
        <v>218</v>
      </c>
      <c r="B31" s="43">
        <f t="shared" si="1"/>
        <v>77</v>
      </c>
      <c r="C31" s="43">
        <f t="shared" si="2"/>
        <v>6</v>
      </c>
      <c r="D31" s="38">
        <f t="shared" si="3"/>
        <v>46321</v>
      </c>
      <c r="E31" s="38">
        <f t="shared" si="4"/>
        <v>46326</v>
      </c>
      <c r="F31" s="3" t="s">
        <v>195</v>
      </c>
      <c r="G31" s="3">
        <v>12.0</v>
      </c>
      <c r="H31" s="3">
        <v>12.0</v>
      </c>
    </row>
    <row r="32" ht="15.75" customHeight="1">
      <c r="A32" s="3" t="s">
        <v>220</v>
      </c>
      <c r="B32" s="43">
        <f t="shared" si="1"/>
        <v>84</v>
      </c>
      <c r="C32" s="43">
        <f t="shared" si="2"/>
        <v>6</v>
      </c>
      <c r="D32" s="38">
        <f t="shared" si="3"/>
        <v>46328</v>
      </c>
      <c r="E32" s="38">
        <f t="shared" si="4"/>
        <v>46333</v>
      </c>
      <c r="F32" s="3" t="s">
        <v>195</v>
      </c>
      <c r="G32" s="3">
        <v>13.0</v>
      </c>
      <c r="H32" s="3">
        <v>13.0</v>
      </c>
    </row>
    <row r="33" ht="15.75" customHeight="1">
      <c r="A33" s="3" t="s">
        <v>226</v>
      </c>
      <c r="B33" s="43">
        <f t="shared" si="1"/>
        <v>91</v>
      </c>
      <c r="C33" s="43">
        <f t="shared" si="2"/>
        <v>6</v>
      </c>
      <c r="D33" s="38">
        <f t="shared" si="3"/>
        <v>46335</v>
      </c>
      <c r="E33" s="38">
        <f t="shared" si="4"/>
        <v>46340</v>
      </c>
      <c r="F33" s="3" t="s">
        <v>195</v>
      </c>
      <c r="G33" s="3">
        <v>14.0</v>
      </c>
      <c r="H33" s="3">
        <v>14.0</v>
      </c>
    </row>
    <row r="34" ht="15.75" customHeight="1">
      <c r="A34" s="3" t="s">
        <v>225</v>
      </c>
      <c r="B34" s="43">
        <f t="shared" si="1"/>
        <v>91</v>
      </c>
      <c r="C34" s="43">
        <f t="shared" si="2"/>
        <v>6</v>
      </c>
      <c r="D34" s="38">
        <f t="shared" si="3"/>
        <v>46335</v>
      </c>
      <c r="E34" s="38">
        <f t="shared" si="4"/>
        <v>46340</v>
      </c>
      <c r="F34" s="3" t="s">
        <v>207</v>
      </c>
      <c r="G34" s="3">
        <v>14.0</v>
      </c>
      <c r="H34" s="3">
        <v>14.0</v>
      </c>
    </row>
    <row r="35" ht="15.75" customHeight="1">
      <c r="A35" s="3" t="s">
        <v>231</v>
      </c>
      <c r="B35" s="43">
        <f t="shared" si="1"/>
        <v>35</v>
      </c>
      <c r="C35" s="43">
        <f t="shared" si="2"/>
        <v>62</v>
      </c>
      <c r="D35" s="38">
        <f t="shared" si="3"/>
        <v>46279</v>
      </c>
      <c r="E35" s="38">
        <f t="shared" si="4"/>
        <v>46340</v>
      </c>
      <c r="F35" s="3" t="s">
        <v>195</v>
      </c>
      <c r="G35" s="3">
        <v>6.0</v>
      </c>
      <c r="H35" s="3">
        <v>14.0</v>
      </c>
    </row>
    <row r="36" ht="15.75" customHeight="1">
      <c r="A36" s="3" t="s">
        <v>139</v>
      </c>
      <c r="B36" s="43">
        <f t="shared" si="1"/>
        <v>98</v>
      </c>
      <c r="C36" s="43">
        <f t="shared" si="2"/>
        <v>6</v>
      </c>
      <c r="D36" s="38">
        <f t="shared" si="3"/>
        <v>46342</v>
      </c>
      <c r="E36" s="38">
        <f t="shared" si="4"/>
        <v>46347</v>
      </c>
      <c r="F36" s="3" t="s">
        <v>207</v>
      </c>
      <c r="G36" s="3">
        <v>15.0</v>
      </c>
      <c r="H36" s="3">
        <v>15.0</v>
      </c>
    </row>
    <row r="37" ht="15.75" customHeight="1">
      <c r="A37" s="3" t="s">
        <v>233</v>
      </c>
      <c r="B37" s="43">
        <f t="shared" si="1"/>
        <v>98</v>
      </c>
      <c r="C37" s="43">
        <f t="shared" si="2"/>
        <v>6</v>
      </c>
      <c r="D37" s="38">
        <f t="shared" si="3"/>
        <v>46342</v>
      </c>
      <c r="E37" s="38">
        <f t="shared" si="4"/>
        <v>46347</v>
      </c>
      <c r="F37" s="3" t="s">
        <v>236</v>
      </c>
      <c r="G37" s="3">
        <v>15.0</v>
      </c>
      <c r="H37" s="3">
        <v>15.0</v>
      </c>
    </row>
    <row r="38" ht="15.75" customHeight="1">
      <c r="A38" s="3" t="s">
        <v>237</v>
      </c>
      <c r="B38" s="43">
        <f t="shared" si="1"/>
        <v>105</v>
      </c>
      <c r="C38" s="43">
        <f t="shared" si="2"/>
        <v>13</v>
      </c>
      <c r="D38" s="38">
        <f t="shared" si="3"/>
        <v>46349</v>
      </c>
      <c r="E38" s="38">
        <f t="shared" si="4"/>
        <v>46361</v>
      </c>
      <c r="F38" s="3" t="s">
        <v>236</v>
      </c>
      <c r="G38" s="3">
        <v>16.0</v>
      </c>
      <c r="H38" s="3">
        <v>17.0</v>
      </c>
    </row>
    <row r="39" ht="15.75" customHeight="1">
      <c r="A39" s="3" t="s">
        <v>238</v>
      </c>
      <c r="B39" s="43">
        <f t="shared" si="1"/>
        <v>112</v>
      </c>
      <c r="C39" s="43">
        <f t="shared" si="2"/>
        <v>6</v>
      </c>
      <c r="D39" s="38">
        <f t="shared" si="3"/>
        <v>46356</v>
      </c>
      <c r="E39" s="38">
        <f t="shared" si="4"/>
        <v>46361</v>
      </c>
      <c r="F39" s="3" t="s">
        <v>207</v>
      </c>
      <c r="G39" s="3">
        <v>17.0</v>
      </c>
      <c r="H39" s="3">
        <v>17.0</v>
      </c>
    </row>
    <row r="40" ht="15.75" customHeight="1">
      <c r="A40" s="3" t="s">
        <v>240</v>
      </c>
      <c r="B40" s="43">
        <f t="shared" si="1"/>
        <v>119</v>
      </c>
      <c r="C40" s="43">
        <f t="shared" si="2"/>
        <v>6</v>
      </c>
      <c r="D40" s="38">
        <f t="shared" si="3"/>
        <v>46363</v>
      </c>
      <c r="E40" s="38">
        <f t="shared" si="4"/>
        <v>46368</v>
      </c>
      <c r="F40" s="3" t="s">
        <v>207</v>
      </c>
      <c r="G40" s="3">
        <v>18.0</v>
      </c>
      <c r="H40" s="3">
        <v>18.0</v>
      </c>
    </row>
    <row r="41" ht="15.75" customHeight="1">
      <c r="D41" s="38"/>
      <c r="E41" s="38"/>
    </row>
    <row r="42" ht="15.75" customHeight="1">
      <c r="A42" s="49" t="s">
        <v>241</v>
      </c>
      <c r="D42" s="38"/>
      <c r="E42" s="38"/>
    </row>
    <row r="43" ht="15.75" customHeight="1">
      <c r="A43" s="3" t="s">
        <v>243</v>
      </c>
      <c r="B43" s="50"/>
      <c r="D43" s="38"/>
      <c r="E43" s="38"/>
    </row>
    <row r="44" ht="15.75" customHeight="1">
      <c r="A44" s="3" t="s">
        <v>244</v>
      </c>
      <c r="B44" s="51"/>
      <c r="D44" s="38"/>
      <c r="E44" s="38"/>
    </row>
    <row r="45" ht="15.75" customHeight="1">
      <c r="A45" s="3" t="s">
        <v>245</v>
      </c>
      <c r="B45" s="52"/>
      <c r="D45" s="38"/>
      <c r="E45" s="38"/>
    </row>
    <row r="46" ht="15.75" customHeight="1">
      <c r="A46" s="3" t="s">
        <v>247</v>
      </c>
      <c r="B46" s="53"/>
      <c r="D46" s="38"/>
      <c r="E46" s="38"/>
    </row>
    <row r="47" ht="15.75" customHeight="1">
      <c r="A47" s="3" t="s">
        <v>248</v>
      </c>
      <c r="B47" s="54"/>
      <c r="D47" s="38"/>
      <c r="E47" s="38"/>
    </row>
    <row r="48" ht="15.75" customHeight="1">
      <c r="D48" s="38"/>
      <c r="E48" s="38"/>
    </row>
    <row r="49" ht="15.75" customHeight="1">
      <c r="D49" s="38"/>
      <c r="E49" s="38"/>
    </row>
    <row r="50" ht="15.75" customHeight="1">
      <c r="D50" s="38"/>
      <c r="E50" s="38"/>
    </row>
    <row r="51" ht="15.75" customHeight="1">
      <c r="D51" s="38"/>
      <c r="E51" s="38"/>
    </row>
    <row r="52" ht="15.75" customHeight="1">
      <c r="D52" s="38"/>
      <c r="E52" s="38"/>
    </row>
    <row r="53" ht="15.75" customHeight="1">
      <c r="D53" s="38"/>
      <c r="E53" s="38"/>
    </row>
    <row r="54" ht="15.75" customHeight="1">
      <c r="D54" s="38"/>
      <c r="E54" s="38"/>
    </row>
    <row r="55" ht="15.75" customHeight="1">
      <c r="D55" s="38"/>
      <c r="E55" s="38"/>
    </row>
    <row r="56" ht="15.75" customHeight="1">
      <c r="D56" s="38"/>
      <c r="E56" s="38"/>
    </row>
    <row r="57" ht="15.75" customHeight="1">
      <c r="D57" s="38"/>
      <c r="E57" s="38"/>
    </row>
    <row r="58" ht="15.75" customHeight="1">
      <c r="D58" s="38"/>
      <c r="E58" s="38"/>
    </row>
    <row r="59" ht="15.75" customHeight="1">
      <c r="D59" s="38"/>
      <c r="E59" s="38"/>
    </row>
    <row r="60" ht="15.75" customHeight="1">
      <c r="D60" s="38"/>
      <c r="E60" s="38"/>
    </row>
    <row r="61" ht="15.75" customHeight="1">
      <c r="D61" s="38"/>
      <c r="E61" s="38"/>
    </row>
    <row r="62" ht="15.75" customHeight="1">
      <c r="D62" s="38"/>
      <c r="E62" s="38"/>
    </row>
    <row r="63" ht="15.75" customHeight="1">
      <c r="D63" s="38"/>
      <c r="E63" s="38"/>
    </row>
    <row r="64" ht="15.75" customHeight="1">
      <c r="D64" s="38"/>
      <c r="E64" s="38"/>
    </row>
    <row r="65" ht="15.75" customHeight="1">
      <c r="D65" s="38"/>
      <c r="E65" s="38"/>
    </row>
    <row r="66" ht="15.75" customHeight="1">
      <c r="D66" s="38"/>
      <c r="E66" s="38"/>
    </row>
    <row r="67" ht="15.75" customHeight="1">
      <c r="D67" s="38"/>
      <c r="E67" s="38"/>
    </row>
    <row r="68" ht="15.75" customHeight="1">
      <c r="D68" s="38"/>
      <c r="E68" s="38"/>
    </row>
    <row r="69" ht="15.75" customHeight="1">
      <c r="D69" s="38"/>
      <c r="E69" s="38"/>
    </row>
    <row r="70" ht="15.75" customHeight="1">
      <c r="D70" s="38"/>
      <c r="E70" s="38"/>
    </row>
    <row r="71" ht="15.75" customHeight="1">
      <c r="D71" s="38"/>
      <c r="E71" s="38"/>
    </row>
    <row r="72" ht="15.75" customHeight="1">
      <c r="D72" s="38"/>
      <c r="E72" s="38"/>
    </row>
    <row r="73" ht="15.75" customHeight="1">
      <c r="D73" s="38"/>
      <c r="E73" s="38"/>
    </row>
    <row r="74" ht="15.75" customHeight="1">
      <c r="D74" s="38"/>
      <c r="E74" s="38"/>
    </row>
    <row r="75" ht="15.75" customHeight="1">
      <c r="D75" s="38"/>
      <c r="E75" s="38"/>
    </row>
    <row r="76" ht="15.75" customHeight="1">
      <c r="D76" s="38"/>
      <c r="E76" s="38"/>
    </row>
    <row r="77" ht="15.75" customHeight="1">
      <c r="D77" s="38"/>
      <c r="E77" s="38"/>
    </row>
    <row r="78" ht="15.75" customHeight="1">
      <c r="D78" s="38"/>
      <c r="E78" s="38"/>
    </row>
    <row r="79" ht="15.75" customHeight="1">
      <c r="D79" s="38"/>
      <c r="E79" s="38"/>
    </row>
    <row r="80" ht="15.75" customHeight="1">
      <c r="D80" s="38"/>
      <c r="E80" s="38"/>
    </row>
    <row r="81" ht="15.75" customHeight="1">
      <c r="D81" s="38"/>
      <c r="E81" s="38"/>
    </row>
    <row r="82" ht="15.75" customHeight="1">
      <c r="D82" s="38"/>
      <c r="E82" s="38"/>
    </row>
    <row r="83" ht="15.75" customHeight="1">
      <c r="D83" s="38"/>
      <c r="E83" s="38"/>
    </row>
    <row r="84" ht="15.75" customHeight="1">
      <c r="D84" s="38"/>
      <c r="E84" s="38"/>
    </row>
    <row r="85" ht="15.75" customHeight="1">
      <c r="D85" s="38"/>
      <c r="E85" s="38"/>
    </row>
    <row r="86" ht="15.75" customHeight="1">
      <c r="D86" s="38"/>
      <c r="E86" s="38"/>
    </row>
    <row r="87" ht="15.75" customHeight="1">
      <c r="D87" s="38"/>
      <c r="E87" s="38"/>
    </row>
    <row r="88" ht="15.75" customHeight="1">
      <c r="D88" s="38"/>
      <c r="E88" s="38"/>
    </row>
    <row r="89" ht="15.75" customHeight="1">
      <c r="D89" s="38"/>
      <c r="E89" s="38"/>
    </row>
    <row r="90" ht="15.75" customHeight="1">
      <c r="D90" s="38"/>
      <c r="E90" s="38"/>
    </row>
    <row r="91" ht="15.75" customHeight="1">
      <c r="D91" s="38"/>
      <c r="E91" s="38"/>
    </row>
    <row r="92" ht="15.75" customHeight="1">
      <c r="D92" s="38"/>
      <c r="E92" s="38"/>
    </row>
    <row r="93" ht="15.75" customHeight="1">
      <c r="D93" s="38"/>
      <c r="E93" s="38"/>
    </row>
    <row r="94" ht="15.75" customHeight="1">
      <c r="D94" s="38"/>
      <c r="E94" s="38"/>
    </row>
    <row r="95" ht="15.75" customHeight="1">
      <c r="D95" s="38"/>
      <c r="E95" s="38"/>
    </row>
    <row r="96" ht="15.75" customHeight="1">
      <c r="D96" s="38"/>
      <c r="E96" s="38"/>
    </row>
    <row r="97" ht="15.75" customHeight="1">
      <c r="D97" s="38"/>
      <c r="E97" s="38"/>
    </row>
    <row r="98" ht="15.75" customHeight="1">
      <c r="D98" s="38"/>
      <c r="E98" s="38"/>
    </row>
    <row r="99" ht="15.75" customHeight="1">
      <c r="D99" s="38"/>
      <c r="E99" s="38"/>
    </row>
    <row r="100" ht="15.75" customHeight="1">
      <c r="D100" s="38"/>
      <c r="E100" s="38"/>
    </row>
    <row r="101" ht="15.75" customHeight="1">
      <c r="D101" s="38"/>
      <c r="E101" s="38"/>
    </row>
    <row r="102" ht="15.75" customHeight="1">
      <c r="D102" s="38"/>
      <c r="E102" s="38"/>
    </row>
    <row r="103" ht="15.75" customHeight="1">
      <c r="D103" s="38"/>
      <c r="E103" s="38"/>
    </row>
    <row r="104" ht="15.75" customHeight="1">
      <c r="D104" s="38"/>
      <c r="E104" s="38"/>
    </row>
    <row r="105" ht="15.75" customHeight="1">
      <c r="D105" s="38"/>
      <c r="E105" s="38"/>
    </row>
    <row r="106" ht="15.75" customHeight="1">
      <c r="D106" s="38"/>
      <c r="E106" s="38"/>
    </row>
    <row r="107" ht="15.75" customHeight="1">
      <c r="D107" s="38"/>
      <c r="E107" s="38"/>
    </row>
    <row r="108" ht="15.75" customHeight="1">
      <c r="D108" s="38"/>
      <c r="E108" s="38"/>
    </row>
    <row r="109" ht="15.75" customHeight="1">
      <c r="D109" s="38"/>
      <c r="E109" s="38"/>
    </row>
    <row r="110" ht="15.75" customHeight="1">
      <c r="D110" s="38"/>
      <c r="E110" s="38"/>
    </row>
    <row r="111" ht="15.75" customHeight="1">
      <c r="D111" s="38"/>
      <c r="E111" s="38"/>
    </row>
    <row r="112" ht="15.75" customHeight="1">
      <c r="D112" s="38"/>
      <c r="E112" s="38"/>
    </row>
    <row r="113" ht="15.75" customHeight="1">
      <c r="D113" s="38"/>
      <c r="E113" s="38"/>
    </row>
    <row r="114" ht="15.75" customHeight="1">
      <c r="D114" s="38"/>
      <c r="E114" s="38"/>
    </row>
    <row r="115" ht="15.75" customHeight="1">
      <c r="D115" s="38"/>
      <c r="E115" s="38"/>
    </row>
    <row r="116" ht="15.75" customHeight="1">
      <c r="D116" s="38"/>
      <c r="E116" s="38"/>
    </row>
    <row r="117" ht="15.75" customHeight="1">
      <c r="D117" s="38"/>
      <c r="E117" s="38"/>
    </row>
    <row r="118" ht="15.75" customHeight="1">
      <c r="D118" s="38"/>
      <c r="E118" s="38"/>
    </row>
    <row r="119" ht="15.75" customHeight="1">
      <c r="D119" s="38"/>
      <c r="E119" s="38"/>
    </row>
    <row r="120" ht="15.75" customHeight="1">
      <c r="D120" s="38"/>
      <c r="E120" s="38"/>
    </row>
    <row r="121" ht="15.75" customHeight="1">
      <c r="D121" s="38"/>
      <c r="E121" s="38"/>
    </row>
    <row r="122" ht="15.75" customHeight="1">
      <c r="D122" s="38"/>
      <c r="E122" s="38"/>
    </row>
    <row r="123" ht="15.75" customHeight="1">
      <c r="D123" s="38"/>
      <c r="E123" s="38"/>
    </row>
    <row r="124" ht="15.75" customHeight="1">
      <c r="D124" s="38"/>
      <c r="E124" s="38"/>
    </row>
    <row r="125" ht="15.75" customHeight="1">
      <c r="D125" s="38"/>
      <c r="E125" s="38"/>
    </row>
    <row r="126" ht="15.75" customHeight="1">
      <c r="D126" s="38"/>
      <c r="E126" s="38"/>
    </row>
    <row r="127" ht="15.75" customHeight="1">
      <c r="D127" s="38"/>
      <c r="E127" s="38"/>
    </row>
    <row r="128" ht="15.75" customHeight="1">
      <c r="D128" s="38"/>
      <c r="E128" s="38"/>
    </row>
    <row r="129" ht="15.75" customHeight="1">
      <c r="D129" s="38"/>
      <c r="E129" s="38"/>
    </row>
    <row r="130" ht="15.75" customHeight="1">
      <c r="D130" s="38"/>
      <c r="E130" s="38"/>
    </row>
    <row r="131" ht="15.75" customHeight="1">
      <c r="D131" s="38"/>
      <c r="E131" s="38"/>
    </row>
    <row r="132" ht="15.75" customHeight="1">
      <c r="D132" s="38"/>
      <c r="E132" s="38"/>
    </row>
    <row r="133" ht="15.75" customHeight="1">
      <c r="D133" s="38"/>
      <c r="E133" s="38"/>
    </row>
    <row r="134" ht="15.75" customHeight="1">
      <c r="D134" s="38"/>
      <c r="E134" s="38"/>
    </row>
    <row r="135" ht="15.75" customHeight="1">
      <c r="D135" s="38"/>
      <c r="E135" s="38"/>
    </row>
    <row r="136" ht="15.75" customHeight="1">
      <c r="D136" s="38"/>
      <c r="E136" s="38"/>
    </row>
    <row r="137" ht="15.75" customHeight="1">
      <c r="D137" s="38"/>
      <c r="E137" s="38"/>
    </row>
    <row r="138" ht="15.75" customHeight="1">
      <c r="D138" s="38"/>
      <c r="E138" s="38"/>
    </row>
    <row r="139" ht="15.75" customHeight="1">
      <c r="D139" s="38"/>
      <c r="E139" s="38"/>
    </row>
    <row r="140" ht="15.75" customHeight="1">
      <c r="D140" s="38"/>
      <c r="E140" s="38"/>
    </row>
    <row r="141" ht="15.75" customHeight="1">
      <c r="D141" s="38"/>
      <c r="E141" s="38"/>
    </row>
    <row r="142" ht="15.75" customHeight="1">
      <c r="D142" s="38"/>
      <c r="E142" s="38"/>
    </row>
    <row r="143" ht="15.75" customHeight="1">
      <c r="D143" s="38"/>
      <c r="E143" s="38"/>
    </row>
    <row r="144" ht="15.75" customHeight="1">
      <c r="D144" s="38"/>
      <c r="E144" s="38"/>
    </row>
    <row r="145" ht="15.75" customHeight="1">
      <c r="D145" s="38"/>
      <c r="E145" s="38"/>
    </row>
    <row r="146" ht="15.75" customHeight="1">
      <c r="D146" s="38"/>
      <c r="E146" s="38"/>
    </row>
    <row r="147" ht="15.75" customHeight="1">
      <c r="D147" s="38"/>
      <c r="E147" s="38"/>
    </row>
    <row r="148" ht="15.75" customHeight="1">
      <c r="D148" s="38"/>
      <c r="E148" s="38"/>
    </row>
    <row r="149" ht="15.75" customHeight="1">
      <c r="D149" s="38"/>
      <c r="E149" s="38"/>
    </row>
    <row r="150" ht="15.75" customHeight="1">
      <c r="D150" s="38"/>
      <c r="E150" s="38"/>
    </row>
    <row r="151" ht="15.75" customHeight="1">
      <c r="D151" s="38"/>
      <c r="E151" s="38"/>
    </row>
    <row r="152" ht="15.75" customHeight="1">
      <c r="D152" s="38"/>
      <c r="E152" s="38"/>
    </row>
    <row r="153" ht="15.75" customHeight="1">
      <c r="D153" s="38"/>
      <c r="E153" s="38"/>
    </row>
    <row r="154" ht="15.75" customHeight="1">
      <c r="D154" s="38"/>
      <c r="E154" s="38"/>
    </row>
    <row r="155" ht="15.75" customHeight="1">
      <c r="D155" s="38"/>
      <c r="E155" s="38"/>
    </row>
    <row r="156" ht="15.75" customHeight="1">
      <c r="D156" s="38"/>
      <c r="E156" s="38"/>
    </row>
    <row r="157" ht="15.75" customHeight="1">
      <c r="D157" s="38"/>
      <c r="E157" s="38"/>
    </row>
    <row r="158" ht="15.75" customHeight="1">
      <c r="D158" s="38"/>
      <c r="E158" s="38"/>
    </row>
    <row r="159" ht="15.75" customHeight="1">
      <c r="D159" s="38"/>
      <c r="E159" s="38"/>
    </row>
    <row r="160" ht="15.75" customHeight="1">
      <c r="D160" s="38"/>
      <c r="E160" s="38"/>
    </row>
    <row r="161" ht="15.75" customHeight="1">
      <c r="D161" s="38"/>
      <c r="E161" s="38"/>
    </row>
    <row r="162" ht="15.75" customHeight="1">
      <c r="D162" s="38"/>
      <c r="E162" s="38"/>
    </row>
    <row r="163" ht="15.75" customHeight="1">
      <c r="D163" s="38"/>
      <c r="E163" s="38"/>
    </row>
    <row r="164" ht="15.75" customHeight="1">
      <c r="D164" s="38"/>
      <c r="E164" s="38"/>
    </row>
    <row r="165" ht="15.75" customHeight="1">
      <c r="D165" s="38"/>
      <c r="E165" s="38"/>
    </row>
    <row r="166" ht="15.75" customHeight="1">
      <c r="D166" s="38"/>
      <c r="E166" s="38"/>
    </row>
    <row r="167" ht="15.75" customHeight="1">
      <c r="D167" s="38"/>
      <c r="E167" s="38"/>
    </row>
    <row r="168" ht="15.75" customHeight="1">
      <c r="D168" s="38"/>
      <c r="E168" s="38"/>
    </row>
    <row r="169" ht="15.75" customHeight="1">
      <c r="D169" s="38"/>
      <c r="E169" s="38"/>
    </row>
    <row r="170" ht="15.75" customHeight="1">
      <c r="D170" s="38"/>
      <c r="E170" s="38"/>
    </row>
    <row r="171" ht="15.75" customHeight="1">
      <c r="D171" s="38"/>
      <c r="E171" s="38"/>
    </row>
    <row r="172" ht="15.75" customHeight="1">
      <c r="D172" s="38"/>
      <c r="E172" s="38"/>
    </row>
    <row r="173" ht="15.75" customHeight="1">
      <c r="D173" s="38"/>
      <c r="E173" s="38"/>
    </row>
    <row r="174" ht="15.75" customHeight="1">
      <c r="D174" s="38"/>
      <c r="E174" s="38"/>
    </row>
    <row r="175" ht="15.75" customHeight="1">
      <c r="D175" s="38"/>
      <c r="E175" s="38"/>
    </row>
    <row r="176" ht="15.75" customHeight="1">
      <c r="D176" s="38"/>
      <c r="E176" s="38"/>
    </row>
    <row r="177" ht="15.75" customHeight="1">
      <c r="D177" s="38"/>
      <c r="E177" s="38"/>
    </row>
    <row r="178" ht="15.75" customHeight="1">
      <c r="D178" s="38"/>
      <c r="E178" s="38"/>
    </row>
    <row r="179" ht="15.75" customHeight="1">
      <c r="D179" s="38"/>
      <c r="E179" s="38"/>
    </row>
    <row r="180" ht="15.75" customHeight="1">
      <c r="D180" s="38"/>
      <c r="E180" s="38"/>
    </row>
    <row r="181" ht="15.75" customHeight="1">
      <c r="D181" s="38"/>
      <c r="E181" s="38"/>
    </row>
    <row r="182" ht="15.75" customHeight="1">
      <c r="D182" s="38"/>
      <c r="E182" s="38"/>
    </row>
    <row r="183" ht="15.75" customHeight="1">
      <c r="D183" s="38"/>
      <c r="E183" s="38"/>
    </row>
    <row r="184" ht="15.75" customHeight="1">
      <c r="D184" s="38"/>
      <c r="E184" s="38"/>
    </row>
    <row r="185" ht="15.75" customHeight="1">
      <c r="D185" s="38"/>
      <c r="E185" s="38"/>
    </row>
    <row r="186" ht="15.75" customHeight="1">
      <c r="D186" s="38"/>
      <c r="E186" s="38"/>
    </row>
    <row r="187" ht="15.75" customHeight="1">
      <c r="D187" s="38"/>
      <c r="E187" s="38"/>
    </row>
    <row r="188" ht="15.75" customHeight="1">
      <c r="D188" s="38"/>
      <c r="E188" s="38"/>
    </row>
    <row r="189" ht="15.75" customHeight="1">
      <c r="D189" s="38"/>
      <c r="E189" s="38"/>
    </row>
    <row r="190" ht="15.75" customHeight="1">
      <c r="D190" s="38"/>
      <c r="E190" s="38"/>
    </row>
    <row r="191" ht="15.75" customHeight="1">
      <c r="D191" s="38"/>
      <c r="E191" s="38"/>
    </row>
    <row r="192" ht="15.75" customHeight="1">
      <c r="D192" s="38"/>
      <c r="E192" s="38"/>
    </row>
    <row r="193" ht="15.75" customHeight="1">
      <c r="D193" s="38"/>
      <c r="E193" s="38"/>
    </row>
    <row r="194" ht="15.75" customHeight="1">
      <c r="D194" s="38"/>
      <c r="E194" s="38"/>
    </row>
    <row r="195" ht="15.75" customHeight="1">
      <c r="D195" s="38"/>
      <c r="E195" s="38"/>
    </row>
    <row r="196" ht="15.75" customHeight="1">
      <c r="D196" s="38"/>
      <c r="E196" s="38"/>
    </row>
    <row r="197" ht="15.75" customHeight="1">
      <c r="D197" s="38"/>
      <c r="E197" s="38"/>
    </row>
    <row r="198" ht="15.75" customHeight="1">
      <c r="D198" s="38"/>
      <c r="E198" s="38"/>
    </row>
    <row r="199" ht="15.75" customHeight="1">
      <c r="D199" s="38"/>
      <c r="E199" s="38"/>
    </row>
    <row r="200" ht="15.75" customHeight="1">
      <c r="D200" s="38"/>
      <c r="E200" s="38"/>
    </row>
    <row r="201" ht="15.75" customHeight="1">
      <c r="D201" s="38"/>
      <c r="E201" s="38"/>
    </row>
    <row r="202" ht="15.75" customHeight="1">
      <c r="D202" s="38"/>
      <c r="E202" s="38"/>
    </row>
    <row r="203" ht="15.75" customHeight="1">
      <c r="D203" s="38"/>
      <c r="E203" s="38"/>
    </row>
    <row r="204" ht="15.75" customHeight="1">
      <c r="D204" s="38"/>
      <c r="E204" s="38"/>
    </row>
    <row r="205" ht="15.75" customHeight="1">
      <c r="D205" s="38"/>
      <c r="E205" s="38"/>
    </row>
    <row r="206" ht="15.75" customHeight="1">
      <c r="D206" s="38"/>
      <c r="E206" s="38"/>
    </row>
    <row r="207" ht="15.75" customHeight="1">
      <c r="D207" s="38"/>
      <c r="E207" s="38"/>
    </row>
    <row r="208" ht="15.75" customHeight="1">
      <c r="D208" s="38"/>
      <c r="E208" s="38"/>
    </row>
    <row r="209" ht="15.75" customHeight="1">
      <c r="D209" s="38"/>
      <c r="E209" s="38"/>
    </row>
    <row r="210" ht="15.75" customHeight="1">
      <c r="D210" s="38"/>
      <c r="E210" s="38"/>
    </row>
    <row r="211" ht="15.75" customHeight="1">
      <c r="D211" s="38"/>
      <c r="E211" s="38"/>
    </row>
    <row r="212" ht="15.75" customHeight="1">
      <c r="D212" s="38"/>
      <c r="E212" s="38"/>
    </row>
    <row r="213" ht="15.75" customHeight="1">
      <c r="D213" s="38"/>
      <c r="E213" s="38"/>
    </row>
    <row r="214" ht="15.75" customHeight="1">
      <c r="D214" s="38"/>
      <c r="E214" s="38"/>
    </row>
    <row r="215" ht="15.75" customHeight="1">
      <c r="D215" s="38"/>
      <c r="E215" s="38"/>
    </row>
    <row r="216" ht="15.75" customHeight="1">
      <c r="D216" s="38"/>
      <c r="E216" s="38"/>
    </row>
    <row r="217" ht="15.75" customHeight="1">
      <c r="D217" s="38"/>
      <c r="E217" s="38"/>
    </row>
    <row r="218" ht="15.75" customHeight="1">
      <c r="D218" s="38"/>
      <c r="E218" s="38"/>
    </row>
    <row r="219" ht="15.75" customHeight="1">
      <c r="D219" s="38"/>
      <c r="E219" s="38"/>
    </row>
    <row r="220" ht="15.75" customHeight="1">
      <c r="D220" s="38"/>
      <c r="E220" s="38"/>
    </row>
    <row r="221" ht="15.75" customHeight="1">
      <c r="D221" s="38"/>
      <c r="E221" s="38"/>
    </row>
    <row r="222" ht="15.75" customHeight="1">
      <c r="D222" s="38"/>
      <c r="E222" s="38"/>
    </row>
    <row r="223" ht="15.75" customHeight="1">
      <c r="D223" s="38"/>
      <c r="E223" s="38"/>
    </row>
    <row r="224" ht="15.75" customHeight="1">
      <c r="D224" s="38"/>
      <c r="E224" s="38"/>
    </row>
    <row r="225" ht="15.75" customHeight="1">
      <c r="D225" s="38"/>
      <c r="E225" s="38"/>
    </row>
    <row r="226" ht="15.75" customHeight="1">
      <c r="D226" s="38"/>
      <c r="E226" s="38"/>
    </row>
    <row r="227" ht="15.75" customHeight="1">
      <c r="D227" s="38"/>
      <c r="E227" s="38"/>
    </row>
    <row r="228" ht="15.75" customHeight="1">
      <c r="D228" s="38"/>
      <c r="E228" s="38"/>
    </row>
    <row r="229" ht="15.75" customHeight="1">
      <c r="D229" s="38"/>
      <c r="E229" s="38"/>
    </row>
    <row r="230" ht="15.75" customHeight="1">
      <c r="D230" s="38"/>
      <c r="E230" s="38"/>
    </row>
    <row r="231" ht="15.75" customHeight="1">
      <c r="D231" s="38"/>
      <c r="E231" s="38"/>
    </row>
    <row r="232" ht="15.75" customHeight="1">
      <c r="D232" s="38"/>
      <c r="E232" s="38"/>
    </row>
    <row r="233" ht="15.75" customHeight="1">
      <c r="D233" s="38"/>
      <c r="E233" s="38"/>
    </row>
    <row r="234" ht="15.75" customHeight="1">
      <c r="D234" s="38"/>
      <c r="E234" s="38"/>
    </row>
    <row r="235" ht="15.75" customHeight="1">
      <c r="D235" s="38"/>
      <c r="E235" s="38"/>
    </row>
    <row r="236" ht="15.75" customHeight="1">
      <c r="D236" s="38"/>
      <c r="E236" s="38"/>
    </row>
    <row r="237" ht="15.75" customHeight="1">
      <c r="D237" s="38"/>
      <c r="E237" s="38"/>
    </row>
    <row r="238" ht="15.75" customHeight="1">
      <c r="D238" s="38"/>
      <c r="E238" s="38"/>
    </row>
    <row r="239" ht="15.75" customHeight="1">
      <c r="D239" s="38"/>
      <c r="E239" s="38"/>
    </row>
    <row r="240" ht="15.75" customHeight="1">
      <c r="D240" s="38"/>
      <c r="E240" s="38"/>
    </row>
    <row r="241" ht="15.75" customHeight="1">
      <c r="D241" s="38"/>
      <c r="E241" s="38"/>
    </row>
    <row r="242" ht="15.75" customHeight="1">
      <c r="D242" s="38"/>
      <c r="E242" s="38"/>
    </row>
    <row r="243" ht="15.75" customHeight="1">
      <c r="D243" s="38"/>
      <c r="E243" s="38"/>
    </row>
    <row r="244" ht="15.75" customHeight="1">
      <c r="D244" s="38"/>
      <c r="E244" s="38"/>
    </row>
    <row r="245" ht="15.75" customHeight="1">
      <c r="D245" s="38"/>
      <c r="E245" s="38"/>
    </row>
    <row r="246" ht="15.75" customHeight="1">
      <c r="D246" s="38"/>
      <c r="E246" s="38"/>
    </row>
    <row r="247" ht="15.75" customHeight="1">
      <c r="D247" s="38"/>
      <c r="E247" s="38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 ht="24.75" customHeight="1">
      <c r="A1" s="2" t="s">
        <v>213</v>
      </c>
    </row>
    <row r="2" ht="49.5" customHeight="1"/>
    <row r="5">
      <c r="A5" s="3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A32" s="3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10.71"/>
  </cols>
  <sheetData>
    <row r="1" ht="24.75" customHeight="1">
      <c r="A1" s="2" t="s">
        <v>224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6" t="s">
        <v>227</v>
      </c>
    </row>
    <row r="3" ht="49.5" customHeight="1"/>
    <row r="21" ht="15.75" customHeight="1"/>
    <row r="22" ht="15.75" customHeight="1">
      <c r="A22" s="47" t="s">
        <v>230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2026-09-06T22:09:21Z</dcterms:created>
  <dc:creator>openpyxl</dc:creator>
</cp:coreProperties>
</file>