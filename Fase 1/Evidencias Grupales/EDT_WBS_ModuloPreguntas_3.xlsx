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EDT jerárquica" sheetId="2" r:id="rId5"/>
    <sheet state="visible" name="Diccionario EDT" sheetId="3" r:id="rId6"/>
    <sheet state="visible" name="Regla del 100%" sheetId="4" r:id="rId7"/>
  </sheets>
  <definedNames/>
  <calcPr/>
  <extLst>
    <ext uri="GoogleSheetsCustomDataVersion2">
      <go:sheetsCustomData xmlns:go="http://customooxmlschemas.google.com/" r:id="rId8" roundtripDataChecksum="mtg9GfBK6IgJjyMBBRUZkyqx1k+cjDhx+/urbrtOYQA="/>
    </ext>
  </extLst>
</workbook>
</file>

<file path=xl/sharedStrings.xml><?xml version="1.0" encoding="utf-8"?>
<sst xmlns="http://schemas.openxmlformats.org/spreadsheetml/2006/main" count="628" uniqueCount="379">
  <si>
    <t>Estructura de Desglose del Trabajo (EDT / WBS)</t>
  </si>
  <si>
    <t>EDT jerárquica - Módulo de Preguntas</t>
  </si>
  <si>
    <t>Módulo de Preguntas - App móvil Aprueba</t>
  </si>
  <si>
    <t>Diccionario de la EDT</t>
  </si>
  <si>
    <t>Descripción, entregable verificable, historias asociadas, responsable e iteración de cada paquete de trabajo.</t>
  </si>
  <si>
    <t>Asignatura</t>
  </si>
  <si>
    <t>Código</t>
  </si>
  <si>
    <t>PTY4614 Capstone - Sección CAPSTONE_002D - Grupo 9</t>
  </si>
  <si>
    <t>Verificación de la regla del 100%</t>
  </si>
  <si>
    <t>Nivel</t>
  </si>
  <si>
    <t>Componente</t>
  </si>
  <si>
    <t>Tipo</t>
  </si>
  <si>
    <t>Paquete de trabajo</t>
  </si>
  <si>
    <t>Fase</t>
  </si>
  <si>
    <t>Institución</t>
  </si>
  <si>
    <t>Descripción</t>
  </si>
  <si>
    <t>Cada nivel de la EDT representa la totalidad del trabajo de su nivel superior. Esta hoja verifica que no exista trabajo comprometido sin paquete asociado, ni paquetes fuera del alcance declarado.</t>
  </si>
  <si>
    <t>Escuela de Informática y Telecomunicaciones - Duoc UC Sede San Bernardo</t>
  </si>
  <si>
    <t>Entregable verificable</t>
  </si>
  <si>
    <t>Historias</t>
  </si>
  <si>
    <t>Empresa contraparte</t>
  </si>
  <si>
    <t>Responsable</t>
  </si>
  <si>
    <t>1</t>
  </si>
  <si>
    <t>Iteración / semana</t>
  </si>
  <si>
    <t>Alloxentric, vinculada mediante la Incubadora Duoc UC San Bernardo</t>
  </si>
  <si>
    <t>1.1 Gestión del proyecto</t>
  </si>
  <si>
    <t>Equipo</t>
  </si>
  <si>
    <t>Martin Espinoza Morales - Sebastián Acevedo Araya - Jeremías Fernández Millacura</t>
  </si>
  <si>
    <t>Profesora guía</t>
  </si>
  <si>
    <t>Eliana Mallen González</t>
  </si>
  <si>
    <t>Componente del alcance</t>
  </si>
  <si>
    <t>Versión y fecha</t>
  </si>
  <si>
    <t>Versión 2.0 - 06 de septiembre de 2026</t>
  </si>
  <si>
    <t>Comprometido</t>
  </si>
  <si>
    <t>Documentos relacionados</t>
  </si>
  <si>
    <t>MÓDULO DE PREGUNTAS - APP MÓVIL APRUEBA</t>
  </si>
  <si>
    <t>Cubierto en EDT</t>
  </si>
  <si>
    <t>Product Vision Statement v1.1 - Enunciado de Alcance Preliminar - Lista de historias de usuario priorizada - Guía 1.5 Definición Proyecto APT</t>
  </si>
  <si>
    <t>Cobertura</t>
  </si>
  <si>
    <t>Metodología</t>
  </si>
  <si>
    <t>Estado</t>
  </si>
  <si>
    <t>Extreme Programming. Diez iteraciones semanales agrupadas en tres entregas funcionales.</t>
  </si>
  <si>
    <t>Proyecto</t>
  </si>
  <si>
    <t>Propósito</t>
  </si>
  <si>
    <t>Pantallas del módulo</t>
  </si>
  <si>
    <t>-</t>
  </si>
  <si>
    <t>La EDT descompone el alcance total del proyecto en componentes progresivamente más pequeños hasta el nivel de paquete de trabajo, con el fin de delimitar de forma verificable qué se entrega, asignar responsabilidad sobre cada componente y servir de base para el cronograma y el control del avance.</t>
  </si>
  <si>
    <t>1.1</t>
  </si>
  <si>
    <t>Criterios de descomposición</t>
  </si>
  <si>
    <t>Orientación a entregables</t>
  </si>
  <si>
    <t xml:space="preserve">    Gestión del proyecto</t>
  </si>
  <si>
    <t>Transversal</t>
  </si>
  <si>
    <t>1.1.1</t>
  </si>
  <si>
    <t>1.3.4.1 a 1.3.4.6 — un paquete por pantalla</t>
  </si>
  <si>
    <t>Plan de gestión y tablero</t>
  </si>
  <si>
    <t>Configuración y mantención del tablero con las columnas del flujo de trabajo, y control del avance de cada iteración.</t>
  </si>
  <si>
    <t>Tablero actualizado con tarjetas, responsables y fechas</t>
  </si>
  <si>
    <t>—</t>
  </si>
  <si>
    <t>Martin Espinoza</t>
  </si>
  <si>
    <t>S1–S18</t>
  </si>
  <si>
    <t>1.1.2</t>
  </si>
  <si>
    <t>Prácticas y ceremonias XP</t>
  </si>
  <si>
    <t>Juego de planificación al inicio de cada iteración, reunión de pie diaria, validación de la entrega funcional con el cliente y reflexión de cierre. Incluye el registro de velocidad del equipo, responsabilidad del Tracker.</t>
  </si>
  <si>
    <t>Registro de velocidad por iteración y acuerdos de las reflexiones de cierre</t>
  </si>
  <si>
    <t>Iteraciones 1–10 (S5–S14)</t>
  </si>
  <si>
    <t>1.1.3</t>
  </si>
  <si>
    <t>Registro de supuestos y decisiones</t>
  </si>
  <si>
    <t>Bitácora de las decisiones tomadas sin confirmación de la contraparte, con su fundamento y su impacto si resulta equivocada. Es la mitigación declarada de la práctica de cliente en sitio, que el equipo no puede cumplir.</t>
  </si>
  <si>
    <t>Bitácora actualizada con supuestos vigentes</t>
  </si>
  <si>
    <t>1.1.4</t>
  </si>
  <si>
    <t>Se descomponen productos y resultados verificables, no actividades. Las actividades se derivan de los paquetes y se gestionan en el cronograma y en el tablero.</t>
  </si>
  <si>
    <t>Evidencias académicas individuales</t>
  </si>
  <si>
    <t>Autoevaluación de competencias, diario de reflexión y autoevaluación formativa de cada integrante, por fase.</t>
  </si>
  <si>
    <t>Tres evidencias por integrante y por fase</t>
  </si>
  <si>
    <t>Cada integrante</t>
  </si>
  <si>
    <t>Regla del 100%</t>
  </si>
  <si>
    <t>Por fase</t>
  </si>
  <si>
    <t>Cada nivel representa la totalidad del trabajo de su nivel superior: no se omite trabajo comprometido ni se incorpora trabajo fuera del alcance. Verificación en la hoja correspondiente.</t>
  </si>
  <si>
    <t>Criterio de agrupación</t>
  </si>
  <si>
    <t xml:space="preserve">        Plan de gestión y tablero de trabajo</t>
  </si>
  <si>
    <t>1.2 Definición del proyecto (Fase 1)</t>
  </si>
  <si>
    <t>El primer nivel combina un componente transversal de gestión con las tres fases académicas. Dentro del desarrollo, la descomposición sigue la arquitectura: servicios por grupo funcional y pantallas de forma individual, porque cada pantalla es un incremento demostrable dentro de una iteración.</t>
  </si>
  <si>
    <t>Servicios REST</t>
  </si>
  <si>
    <t>Nivel de detalle</t>
  </si>
  <si>
    <t>Se llega al paquete de trabajo: el componente de menor nivel al que se asigna responsable, se estima esfuerzo y se verifica un resultado.</t>
  </si>
  <si>
    <t>1.3.3.1 (5) + 1.3.3.2 (2) + 1.3.3.3 (2) + 1.3.3.4 (4)</t>
  </si>
  <si>
    <t xml:space="preserve">        Prácticas y ceremonias XP</t>
  </si>
  <si>
    <t>Historias y restricciones técnicas</t>
  </si>
  <si>
    <t xml:space="preserve">        Registro de supuestos y decisiones</t>
  </si>
  <si>
    <t>16 historias asociadas a paquetes de 1.3; RT-02 y RT-03 en 1.3.6; RT-01 y RT-04 son transversales y se verifican por los criterios de terminado</t>
  </si>
  <si>
    <t>1.2.1.1</t>
  </si>
  <si>
    <t xml:space="preserve">        Evidencias académicas individuales</t>
  </si>
  <si>
    <t>Entregables de Fase 1</t>
  </si>
  <si>
    <t>Acta de Constitución</t>
  </si>
  <si>
    <t>Documento que formaliza el inicio del proyecto: justificación, objetivos, alcance preliminar, supuestos, restricciones e interesados.</t>
  </si>
  <si>
    <t>Documento aprobado</t>
  </si>
  <si>
    <t>1.2.1 a 1.2.4 — un paquete por entregable de la fase, incluido el diagrama de arquitectura</t>
  </si>
  <si>
    <t>1.2</t>
  </si>
  <si>
    <t xml:space="preserve">    Definición del proyecto</t>
  </si>
  <si>
    <t>S1–S4</t>
  </si>
  <si>
    <t>Fase 1</t>
  </si>
  <si>
    <t>1.2.1.2</t>
  </si>
  <si>
    <t>Iteraciones de desarrollo</t>
  </si>
  <si>
    <t>Product Vision Statement</t>
  </si>
  <si>
    <t>1.2.1</t>
  </si>
  <si>
    <t>Declaración de visión del producto con grupo objetivo, necesidades, propuesta de valor, diferenciadores y objetivos de negocio.</t>
  </si>
  <si>
    <t xml:space="preserve">        Documentos de inicio</t>
  </si>
  <si>
    <t>Iteraciones 1 a 10 (S5 a S14) cubiertas por los paquetes de 1.3</t>
  </si>
  <si>
    <t>Subcomponente</t>
  </si>
  <si>
    <t>1.2.1.3</t>
  </si>
  <si>
    <t>Registro de interesados</t>
  </si>
  <si>
    <t>Identificación de interesados con su interés, influencia, expectativa y estrategia de comunicación.</t>
  </si>
  <si>
    <t>Matriz de interesados</t>
  </si>
  <si>
    <t>Jeremías Fernández</t>
  </si>
  <si>
    <t>S2–S4</t>
  </si>
  <si>
    <t>1.2.2.1</t>
  </si>
  <si>
    <t>Enunciado de Alcance Preliminar</t>
  </si>
  <si>
    <t>Delimitación del producto: entregables incluidos, exclusiones explícitas, criterios de aceptación, supuestos y restricciones.</t>
  </si>
  <si>
    <t xml:space="preserve">            Acta de Constitución del Proyecto</t>
  </si>
  <si>
    <t>Resultado de la verificación</t>
  </si>
  <si>
    <t>1.2.2.2</t>
  </si>
  <si>
    <t>EDT y diccionario</t>
  </si>
  <si>
    <t>Descomposición jerárquica del alcance hasta nivel de paquete de trabajo, con su diccionario asociado.</t>
  </si>
  <si>
    <t>Este documento</t>
  </si>
  <si>
    <t xml:space="preserve">            Product Vision Statement</t>
  </si>
  <si>
    <t>1.2.2.3</t>
  </si>
  <si>
    <t>Lista de historias de usuario priorizada</t>
  </si>
  <si>
    <t>Historias de usuario derivadas del alcance, priorizadas por valor de negocio, con criterio de aceptación verificable e iteración asignada. Incluye las restricciones técnicas transversales.</t>
  </si>
  <si>
    <t>Lista con 16 historias y 4 restricciones técnicas</t>
  </si>
  <si>
    <t>HU-01 a HU-20 · RT-01 a RT-04</t>
  </si>
  <si>
    <t xml:space="preserve">            Registro de interesados</t>
  </si>
  <si>
    <t>1.2.2.4</t>
  </si>
  <si>
    <t>Documento de Requerimientos (SRS)</t>
  </si>
  <si>
    <t>Especificación de requisitos funcionales y no funcionales del módulo, derivada del contrato de API y de las reglas de negocio.</t>
  </si>
  <si>
    <t>1.2.2</t>
  </si>
  <si>
    <t>SRS aprobado</t>
  </si>
  <si>
    <t xml:space="preserve">        Planificación del alcance</t>
  </si>
  <si>
    <t>Equipo completo</t>
  </si>
  <si>
    <t>1.2.2.5</t>
  </si>
  <si>
    <t>Cronograma preliminar</t>
  </si>
  <si>
    <t>Programación de las actividades del proyecto en las dieciocho semanas del semestre, con sus hitos evaluativos.</t>
  </si>
  <si>
    <t>Carta Gantt</t>
  </si>
  <si>
    <t xml:space="preserve">            Enunciado de Alcance Preliminar</t>
  </si>
  <si>
    <t>1.2.3.1</t>
  </si>
  <si>
    <t>Definición de tecnologías</t>
  </si>
  <si>
    <t>Selección y justificación del stack tecnológico del cliente móvil, del backend y de las herramientas de trabajo.</t>
  </si>
  <si>
    <t>Sección de tecnologías documentada</t>
  </si>
  <si>
    <t xml:space="preserve">            EDT y diccionario</t>
  </si>
  <si>
    <t>1.2.3.2</t>
  </si>
  <si>
    <t>Diagrama de arquitectura</t>
  </si>
  <si>
    <t>Representación de las capas de la solución, el flujo de datos, el manejo de sesión y las dependencias externas.</t>
  </si>
  <si>
    <t>Diagrama en formato vectorial</t>
  </si>
  <si>
    <t>S3–S4</t>
  </si>
  <si>
    <t>1.2.3.3</t>
  </si>
  <si>
    <t>Repositorio configurado</t>
  </si>
  <si>
    <t>Repositorio público con estructura del proyecto, archivo descriptivo, convenciones de control de versiones y control de acceso.</t>
  </si>
  <si>
    <t>Repositorio operativo con enlace</t>
  </si>
  <si>
    <t>1.2.4.1</t>
  </si>
  <si>
    <t>Exposición de Fase 1</t>
  </si>
  <si>
    <t xml:space="preserve">            Lista de historias de usuario priorizada</t>
  </si>
  <si>
    <t>Presentación de la propuesta de proyecto ante la profesora guía.</t>
  </si>
  <si>
    <t>Presentación realizada</t>
  </si>
  <si>
    <t>S5</t>
  </si>
  <si>
    <t>1.3 Desarrollo del módulo (Fase 2)</t>
  </si>
  <si>
    <t xml:space="preserve">            Documento de Requerimientos (SRS)</t>
  </si>
  <si>
    <t xml:space="preserve">            Cronograma preliminar</t>
  </si>
  <si>
    <t>1.3.1.1</t>
  </si>
  <si>
    <t>Entorno de desarrollo móvil</t>
  </si>
  <si>
    <t>Instalación del kit de desarrollo, generación de las carpetas nativas, ejecución de build_runner y puesta en marcha de la aplicación en emulador o dispositivo. Se trabaja íntegramente en pares.</t>
  </si>
  <si>
    <t>1.2.3</t>
  </si>
  <si>
    <t>Aplicación ejecutándose en los equipos del equipo</t>
  </si>
  <si>
    <t xml:space="preserve">        Definición técnica</t>
  </si>
  <si>
    <t>Iteración 1 (S5)</t>
  </si>
  <si>
    <t>1.3.1.2</t>
  </si>
  <si>
    <t>Entorno de backend y base de datos</t>
  </si>
  <si>
    <t>Instalación de dependencias del servidor, configuración del emulador de la base de datos y carga de datos de prueba.</t>
  </si>
  <si>
    <t>Servicios respondiendo en entorno local</t>
  </si>
  <si>
    <t xml:space="preserve">            Definición de tecnologías</t>
  </si>
  <si>
    <t>1.3.2.1</t>
  </si>
  <si>
    <t>Modelo de datos en Firestore</t>
  </si>
  <si>
    <t>Diseño de las colecciones que soportan el módulo, con sus campos, relaciones e índices compuestos.</t>
  </si>
  <si>
    <t>Diccionario de datos e índices definidos</t>
  </si>
  <si>
    <t>HU-20</t>
  </si>
  <si>
    <t>Iteración 2 (S6)</t>
  </si>
  <si>
    <t xml:space="preserve">            Diagrama de arquitectura</t>
  </si>
  <si>
    <t>1.3.2.2</t>
  </si>
  <si>
    <t>Esquema de persistencia local</t>
  </si>
  <si>
    <t>Diseño de las tablas de caché de preguntas, registro de respuestas y preferencias del cliente.</t>
  </si>
  <si>
    <t>Esquema local generado y versionado</t>
  </si>
  <si>
    <t>Sebastián Acevedo</t>
  </si>
  <si>
    <t>Elementos excluidos de la EDT</t>
  </si>
  <si>
    <t xml:space="preserve">            Repositorio GitHub configurado</t>
  </si>
  <si>
    <t>1.3.2.3</t>
  </si>
  <si>
    <t>Modelos de dominio del cliente</t>
  </si>
  <si>
    <t>Pantallas ajenas al módulo</t>
  </si>
  <si>
    <t>Clases del modelo lógico de la interfaz de programación, con sus pruebas unitarias de serialización.</t>
  </si>
  <si>
    <t>Modelos con pruebas en verde</t>
  </si>
  <si>
    <t>Registro, autenticación, incorporación inicial, inicio, medallas y canjes, regalos, beneficios, grupos, comunidad, tutores, muro de pago, suscripción, ajustes y notificaciones.</t>
  </si>
  <si>
    <t>1.2.4</t>
  </si>
  <si>
    <t xml:space="preserve">        Entrega de fase</t>
  </si>
  <si>
    <t>1.3.3.1</t>
  </si>
  <si>
    <t>Servicios de práctica</t>
  </si>
  <si>
    <t>Cinco servicios: entrega de la siguiente pregunta, consulta por identificador, registro de respuesta, explicación detallada y habilidad asociada. La respuesta correcta no se expone antes de responder.</t>
  </si>
  <si>
    <t>Cinco servicios operativos según contrato</t>
  </si>
  <si>
    <t>HU-01, HU-03, HU-05, HU-06</t>
  </si>
  <si>
    <t>Iteraciones 3–6 (S7–S10)</t>
  </si>
  <si>
    <t>1.3.3.2</t>
  </si>
  <si>
    <t>Servicios de cuota</t>
  </si>
  <si>
    <t xml:space="preserve">            Exposición de Fase 1</t>
  </si>
  <si>
    <t>Dos servicios: consulta del estado de la cuota diaria y desbloqueo de cuota adicional mediante declaración de datos, con su lógica escalonada.</t>
  </si>
  <si>
    <t>Dos servicios operativos</t>
  </si>
  <si>
    <t>HU-07, HU-08</t>
  </si>
  <si>
    <t>Iteración 7 (S11)</t>
  </si>
  <si>
    <t>Componentes de otros equipos</t>
  </si>
  <si>
    <t>1.3</t>
  </si>
  <si>
    <t>1.3.3.3</t>
  </si>
  <si>
    <t>Consola web de administración, generador de preguntas, sitio web del alumno y sitio de aterrizaje.</t>
  </si>
  <si>
    <t>Servicios de recorrección</t>
  </si>
  <si>
    <t xml:space="preserve">    Desarrollo del módulo</t>
  </si>
  <si>
    <t>Dos servicios: creación de solicitud de revisión y consulta de las solicitudes propias con su estado.</t>
  </si>
  <si>
    <t>HU-09, HU-10</t>
  </si>
  <si>
    <t>Fase 2</t>
  </si>
  <si>
    <t>Iteración 8 (S12)</t>
  </si>
  <si>
    <t>1.3.1</t>
  </si>
  <si>
    <t>1.3.3.4</t>
  </si>
  <si>
    <t>Servicios de configuración</t>
  </si>
  <si>
    <t xml:space="preserve">        Habilitación técnica</t>
  </si>
  <si>
    <t>Cuatro servicios: catálogo de pruebas, consulta y actualización de preferencias, y progreso por prueba.</t>
  </si>
  <si>
    <t>Cuatro servicios operativos</t>
  </si>
  <si>
    <t>HU-11, HU-12, HU-13</t>
  </si>
  <si>
    <t>Iteraciones 3 y 9 (S7, S13)</t>
  </si>
  <si>
    <t>Integraciones no intervenidas</t>
  </si>
  <si>
    <t>Pasarela de pago, inicio de sesión social y notificaciones push: el módulo las consume pero no las modifica.</t>
  </si>
  <si>
    <t xml:space="preserve">            Entorno de desarrollo móvil</t>
  </si>
  <si>
    <t>1.3.4.1</t>
  </si>
  <si>
    <t>Pantalla Pregunta</t>
  </si>
  <si>
    <t xml:space="preserve">            Entorno de backend y base de datos</t>
  </si>
  <si>
    <t>Presentación del enunciado y las alternativas, control del cronómetro y descuento de la cuota diaria.</t>
  </si>
  <si>
    <t>Generación de contenido</t>
  </si>
  <si>
    <t>Pantalla navegable e integrada</t>
  </si>
  <si>
    <t>HU-02</t>
  </si>
  <si>
    <t>El banco de preguntas y sus explicaciones son insumo de la empresa contraparte.</t>
  </si>
  <si>
    <t>Iteración 3 (S7)</t>
  </si>
  <si>
    <t>1.3.4.2</t>
  </si>
  <si>
    <t>Pantalla Resultado</t>
  </si>
  <si>
    <t>1.3.2</t>
  </si>
  <si>
    <t>Presentación del acierto o error, la alternativa correcta, la explicación breve, el percentil de cohorte y la medalla obtenida.</t>
  </si>
  <si>
    <t>HU-04</t>
  </si>
  <si>
    <t xml:space="preserve">        Modelo de datos y contratos</t>
  </si>
  <si>
    <t>Iteración 4 (S8)</t>
  </si>
  <si>
    <t>Caso particular: manejo de sesión</t>
  </si>
  <si>
    <t>1.3.4.3</t>
  </si>
  <si>
    <t>Pantalla Explicación detallada</t>
  </si>
  <si>
    <t>No se desarrolla un mecanismo de autenticación nuevo, pero sí se genera el paquete 1.3.5.1 por la integración necesaria para consumir servicios protegidos. La exclusión está declarada en el Enunciado de Alcance.</t>
  </si>
  <si>
    <t>Presentación del planteamiento, los pasos de resolución, la verificación y el concepto clave.</t>
  </si>
  <si>
    <t xml:space="preserve">            Modelo de datos en Firestore</t>
  </si>
  <si>
    <t>HU-05</t>
  </si>
  <si>
    <t>Iteración 5 (S9)</t>
  </si>
  <si>
    <t>1.3.4.4</t>
  </si>
  <si>
    <t>Pantalla Habilidad</t>
  </si>
  <si>
    <t>Presentación de la habilidad evaluada, el nivel de dominio, el árbol de prerrequisitos y los recursos recomendados.</t>
  </si>
  <si>
    <t>HU-06</t>
  </si>
  <si>
    <t xml:space="preserve">            Esquema de persistencia local</t>
  </si>
  <si>
    <t>Iteración 6 (S10)</t>
  </si>
  <si>
    <t>1.3.4.5</t>
  </si>
  <si>
    <t>Pantalla Recorrección</t>
  </si>
  <si>
    <t>Formulario de solicitud de revisión con motivo tipificado y comentario, y consulta del estado de las solicitudes.</t>
  </si>
  <si>
    <t xml:space="preserve">            Modelos de dominio del cliente</t>
  </si>
  <si>
    <t>1.3.4.6</t>
  </si>
  <si>
    <t>Pantalla Desbloqueo de cuota</t>
  </si>
  <si>
    <t>Formulario de declaración de colegio o región para ampliar la cuota diaria disponible.</t>
  </si>
  <si>
    <t>Control de versiones</t>
  </si>
  <si>
    <t>1.3.3</t>
  </si>
  <si>
    <t>HU-08</t>
  </si>
  <si>
    <t xml:space="preserve">        Servicios REST</t>
  </si>
  <si>
    <t>1.3.5.1</t>
  </si>
  <si>
    <t>Manejo de sesión</t>
  </si>
  <si>
    <t>Versión</t>
  </si>
  <si>
    <t>Integración con el mecanismo de autenticación existente, con renovación transparente del token de acceso y cierre de sesión ante fallo de renovación.</t>
  </si>
  <si>
    <t>Sesión persistente con renovación verificada</t>
  </si>
  <si>
    <t>Fecha</t>
  </si>
  <si>
    <t>HU-16</t>
  </si>
  <si>
    <t xml:space="preserve">            Servicios de práctica (5 servicios)</t>
  </si>
  <si>
    <t>Descripción del cambio</t>
  </si>
  <si>
    <t>1.3.5.2</t>
  </si>
  <si>
    <t>Caché sin conexión y progreso</t>
  </si>
  <si>
    <t>Escritura en caché de cada lectura, recuperación de la última copia ante fallo de red y presentación del progreso por prueba.</t>
  </si>
  <si>
    <t>Práctica disponible sin conexión</t>
  </si>
  <si>
    <t>HU-13, HU-14</t>
  </si>
  <si>
    <t xml:space="preserve">            Servicios de cuota (2 servicios)</t>
  </si>
  <si>
    <t>Iteración 9 (S13)</t>
  </si>
  <si>
    <t>1.0</t>
  </si>
  <si>
    <t>1.3.6.1</t>
  </si>
  <si>
    <t>03/09/2026</t>
  </si>
  <si>
    <t>Pruebas unitarias</t>
  </si>
  <si>
    <t>Casos de prueba sobre los modelos de dominio y la lógica de cuota, medallas y recorrección, escritos antes del código según la práctica de desarrollo guiado por pruebas.</t>
  </si>
  <si>
    <t>Versión inicial, elaborada a partir del Enunciado de Alcance Preliminar y del Product Backlog priorizado inicial.</t>
  </si>
  <si>
    <t>Batería de pruebas en verde</t>
  </si>
  <si>
    <t xml:space="preserve">            Servicios de recorrección (2 servicios)</t>
  </si>
  <si>
    <t>RT-02</t>
  </si>
  <si>
    <t>Iteraciones 2–10 (S6–S14)</t>
  </si>
  <si>
    <t>1.3.6.2</t>
  </si>
  <si>
    <t>Pruebas de integración</t>
  </si>
  <si>
    <t>Verificación del funcionamiento conjunto del cliente móvil y los servicios contra los contratos definidos. La integración a la rama principal es diaria durante todo el desarrollo.</t>
  </si>
  <si>
    <t>Informe de pruebas de integración</t>
  </si>
  <si>
    <t>RT-03</t>
  </si>
  <si>
    <t xml:space="preserve">            Servicios de configuración (4 servicios)</t>
  </si>
  <si>
    <t>Iteración 10 (S14)</t>
  </si>
  <si>
    <t>2.0</t>
  </si>
  <si>
    <t>06/09/2026</t>
  </si>
  <si>
    <t>1.3.6.3</t>
  </si>
  <si>
    <t>Análisis estático y compilación</t>
  </si>
  <si>
    <t>Ejecución del analizador estático sin advertencias y generación del artefacto de instalación de la aplicación móvil.</t>
  </si>
  <si>
    <t>Se reemplaza el vocabulario de Scrum por el de Extreme Programming. Se realinean las historias asociadas y los períodos con la lista de historias vigente, que separó las restricciones técnicas RT-01 a RT-04 e incorporó HU-20. El alcance no cambia.</t>
  </si>
  <si>
    <t>1.3.4</t>
  </si>
  <si>
    <t>Artefacto compilado y análisis limpio</t>
  </si>
  <si>
    <t xml:space="preserve">        Pantallas del cliente móvil</t>
  </si>
  <si>
    <t>1.3.6.4</t>
  </si>
  <si>
    <t>Contenedores y despliegue reproducible</t>
  </si>
  <si>
    <t>Empaquetado de los servicios y del emulador de la base de datos en contenedores, con archivo de composición y procedimiento de levantamiento documentado en el archivo descriptivo del repositorio.</t>
  </si>
  <si>
    <t>Entorno levantado por un tercero siguiendo solo la documentación</t>
  </si>
  <si>
    <t>2.1</t>
  </si>
  <si>
    <t>07/09/2026</t>
  </si>
  <si>
    <t>1.3.7.1</t>
  </si>
  <si>
    <t xml:space="preserve">            Pantalla Pregunta</t>
  </si>
  <si>
    <t>Informe de Avance</t>
  </si>
  <si>
    <t>Se incorporan los paquetes 1.3.6.4, empaquetado en contenedores y despliegue reproducible, y 1.4.4, presentación a empresas vinculadas, ambos comprometidos en el Acta de Constitución y en la carta Gantt. Se elimina el paquete del abstract en inglés, que la asignatura considera opcional.</t>
  </si>
  <si>
    <t>Documento de avance con evidencia funcional de los incrementos entregados hasta la iteración 6, que cierra la segunda entrega funcional.</t>
  </si>
  <si>
    <t>Informe entregado</t>
  </si>
  <si>
    <t>S10</t>
  </si>
  <si>
    <t>1.3.7.2</t>
  </si>
  <si>
    <t>Informe Final</t>
  </si>
  <si>
    <t xml:space="preserve">            Pantalla Resultado</t>
  </si>
  <si>
    <t>Documento final del proyecto con la solución completa, sus resultados y su evidencia.</t>
  </si>
  <si>
    <t>S15</t>
  </si>
  <si>
    <t>1.4 Cierre y presentación (Fase 3)</t>
  </si>
  <si>
    <t xml:space="preserve">            Pantalla Explicación detallada</t>
  </si>
  <si>
    <t xml:space="preserve">            Pantalla Habilidad</t>
  </si>
  <si>
    <t xml:space="preserve">            Pantalla Recorrección</t>
  </si>
  <si>
    <t>1.4.1</t>
  </si>
  <si>
    <t>Documentación final y manual técnico</t>
  </si>
  <si>
    <t>Documento de diseño con la arquitectura y el modelo de datos, manual de instalación y despliegue, y manual de usuario.</t>
  </si>
  <si>
    <t>Documentación completa versionada</t>
  </si>
  <si>
    <t xml:space="preserve">            Pantalla Desbloqueo de cuota</t>
  </si>
  <si>
    <t>1.4.2</t>
  </si>
  <si>
    <t>Demostración funcional</t>
  </si>
  <si>
    <t>Preparación de la demostración del módulo en emulador o dispositivo, con datos de prueba cargados.</t>
  </si>
  <si>
    <t>Demostración ensayada y operativa</t>
  </si>
  <si>
    <t>1.3.5</t>
  </si>
  <si>
    <t>S16–S17</t>
  </si>
  <si>
    <t xml:space="preserve">        Integración y persistencia local</t>
  </si>
  <si>
    <t>1.4.3</t>
  </si>
  <si>
    <t>Presentación ante comisión</t>
  </si>
  <si>
    <t>Exposición del proyecto, sus resultados y su evidencia ante la comisión evaluadora.</t>
  </si>
  <si>
    <t>S17</t>
  </si>
  <si>
    <t xml:space="preserve">            Manejo de sesión y renovación de tokens</t>
  </si>
  <si>
    <t>1.4.4</t>
  </si>
  <si>
    <t>Presentación a empresas vinculadas</t>
  </si>
  <si>
    <t>Exposición del proyecto y sus resultados ante las empresas vinculadas al centro de práctica, en la instancia de cierre del semestre.</t>
  </si>
  <si>
    <t xml:space="preserve">            Caché sin conexión y progreso</t>
  </si>
  <si>
    <t>1.3.6</t>
  </si>
  <si>
    <t>S18</t>
  </si>
  <si>
    <t xml:space="preserve">        Aseguramiento de calidad</t>
  </si>
  <si>
    <t xml:space="preserve">            Pruebas unitarias</t>
  </si>
  <si>
    <t xml:space="preserve">            Pruebas de integración</t>
  </si>
  <si>
    <t xml:space="preserve">            Análisis estático y compilación</t>
  </si>
  <si>
    <t xml:space="preserve">            Contenedores y despliegue reproducible</t>
  </si>
  <si>
    <t>1.3.7</t>
  </si>
  <si>
    <t xml:space="preserve">        Informes de fase</t>
  </si>
  <si>
    <t xml:space="preserve">            Informe de Avance</t>
  </si>
  <si>
    <t xml:space="preserve">            Informe Final</t>
  </si>
  <si>
    <t>1.4</t>
  </si>
  <si>
    <t xml:space="preserve">    Cierre y presentación</t>
  </si>
  <si>
    <t>Fase 3</t>
  </si>
  <si>
    <t xml:space="preserve">        Documentación final y manual técnico</t>
  </si>
  <si>
    <t xml:space="preserve">        Demostración funcional</t>
  </si>
  <si>
    <t xml:space="preserve">        Presentación ante comisión evaluadora</t>
  </si>
  <si>
    <t xml:space="preserve">        Presentación a empresas vinculadas</t>
  </si>
  <si>
    <t>Total paquetes de trabajo</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</si>
</sst>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Calibri"/>
    </font>
    <font>
      <b/>
      <sz val="13.0"/>
      <color rgb="FF1A365D"/>
      <name val="Arial"/>
    </font>
    <font>
      <b/>
      <sz val="16.0"/>
      <color rgb="FF1A365D"/>
      <name val="Arial"/>
    </font>
    <font>
      <sz val="12.0"/>
      <color rgb="FF444444"/>
      <name val="Arial"/>
    </font>
    <font>
      <sz val="10.0"/>
      <color rgb="FF555555"/>
      <name val="Arial"/>
    </font>
    <font>
      <b/>
      <sz val="10.0"/>
      <color rgb="FF1A365D"/>
      <name val="Arial"/>
    </font>
    <font>
      <b/>
      <sz val="10.0"/>
      <color rgb="FFFFFFFF"/>
      <name val="Arial"/>
    </font>
    <font>
      <sz val="10.0"/>
      <color theme="1"/>
      <name val="Arial"/>
    </font>
    <font>
      <b/>
      <sz val="11.0"/>
      <color rgb="FFFFFFFF"/>
      <name val="Arial"/>
    </font>
    <font/>
    <font>
      <b/>
      <sz val="11.0"/>
      <color rgb="FF1A365D"/>
      <name val="Arial"/>
    </font>
    <font>
      <b/>
      <sz val="10.0"/>
      <color theme="1"/>
      <name val="Arial"/>
    </font>
    <font>
      <b/>
      <sz val="9.0"/>
      <color theme="1"/>
      <name val="Arial"/>
    </font>
    <font>
      <sz val="9.0"/>
      <color theme="1"/>
      <name val="Arial"/>
    </font>
  </fonts>
  <fills count="6">
    <fill>
      <patternFill patternType="none"/>
    </fill>
    <fill>
      <patternFill patternType="lightGray"/>
    </fill>
    <fill>
      <patternFill patternType="solid">
        <fgColor rgb="FFF1F1EF"/>
        <bgColor rgb="FFF1F1EF"/>
      </patternFill>
    </fill>
    <fill>
      <patternFill patternType="solid">
        <fgColor rgb="FF1A365D"/>
        <bgColor rgb="FF1A365D"/>
      </patternFill>
    </fill>
    <fill>
      <patternFill patternType="solid">
        <fgColor rgb="FFD9E2EC"/>
        <bgColor rgb="FFD9E2EC"/>
      </patternFill>
    </fill>
    <fill>
      <patternFill patternType="solid">
        <fgColor rgb="FFF5B041"/>
        <bgColor rgb="FFF5B041"/>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2" numFmtId="0" xfId="0" applyAlignment="1" applyFont="1">
      <alignment readingOrder="0" shrinkToFit="0" vertical="bottom" wrapText="0"/>
    </xf>
    <xf borderId="0" fillId="0" fontId="5" numFmtId="0" xfId="0" applyAlignment="1" applyFont="1">
      <alignment shrinkToFit="0" vertical="bottom" wrapText="0"/>
    </xf>
    <xf borderId="1" fillId="2" fontId="6" numFmtId="0" xfId="0" applyAlignment="1" applyBorder="1" applyFill="1" applyFont="1">
      <alignment shrinkToFit="0" vertical="center" wrapText="1"/>
    </xf>
    <xf borderId="1" fillId="3" fontId="7" numFmtId="0" xfId="0" applyAlignment="1" applyBorder="1" applyFill="1" applyFont="1">
      <alignment horizontal="center" shrinkToFit="0" vertical="center" wrapText="1"/>
    </xf>
    <xf borderId="1" fillId="0" fontId="8" numFmtId="0" xfId="0" applyAlignment="1" applyBorder="1" applyFont="1">
      <alignment readingOrder="0" shrinkToFit="0" vertical="center" wrapText="1"/>
    </xf>
    <xf borderId="0" fillId="0" fontId="5" numFmtId="0" xfId="0" applyAlignment="1" applyFont="1">
      <alignment shrinkToFit="0" vertical="top" wrapText="1"/>
    </xf>
    <xf borderId="1" fillId="0" fontId="8" numFmtId="0" xfId="0" applyAlignment="1" applyBorder="1" applyFont="1">
      <alignment shrinkToFit="0" vertical="center" wrapText="1"/>
    </xf>
    <xf borderId="1" fillId="3" fontId="9" numFmtId="0" xfId="0" applyAlignment="1" applyBorder="1" applyFill="1" applyFont="1">
      <alignment horizontal="center" shrinkToFit="0" vertical="center" wrapText="1"/>
    </xf>
    <xf borderId="2" fillId="4" fontId="6" numFmtId="0" xfId="0" applyAlignment="1" applyBorder="1" applyFill="1" applyFont="1">
      <alignment horizontal="left" shrinkToFit="0" vertical="center" wrapText="0"/>
    </xf>
    <xf borderId="1" fillId="3" fontId="9" numFmtId="0" xfId="0" applyAlignment="1" applyBorder="1" applyFill="1" applyFont="1">
      <alignment readingOrder="0" shrinkToFit="0" vertical="center" wrapText="1"/>
    </xf>
    <xf borderId="3" fillId="0" fontId="10" numFmtId="0" xfId="0" applyBorder="1" applyFont="1"/>
    <xf borderId="0" fillId="0" fontId="11" numFmtId="0" xfId="0" applyAlignment="1" applyFont="1">
      <alignment shrinkToFit="0" vertical="bottom" wrapText="0"/>
    </xf>
    <xf borderId="1" fillId="3" fontId="9" numFmtId="0" xfId="0" applyAlignment="1" applyBorder="1" applyFill="1" applyFont="1">
      <alignment horizontal="center" readingOrder="0" shrinkToFit="0" vertical="center" wrapText="1"/>
    </xf>
    <xf borderId="1" fillId="0" fontId="12" numFmtId="0" xfId="0" applyAlignment="1" applyBorder="1" applyFont="1">
      <alignment shrinkToFit="0" vertical="center" wrapText="1"/>
    </xf>
    <xf borderId="0" fillId="0" fontId="8" numFmtId="0" xfId="0" applyAlignment="1" applyFont="1">
      <alignment shrinkToFit="0" vertical="top" wrapText="1"/>
    </xf>
    <xf borderId="1" fillId="4" fontId="6" numFmtId="0" xfId="0" applyAlignment="1" applyBorder="1" applyFill="1" applyFont="1">
      <alignment horizontal="center" shrinkToFit="0" vertical="center" wrapText="1"/>
    </xf>
    <xf borderId="4" fillId="0" fontId="10" numFmtId="0" xfId="0" applyBorder="1" applyFont="1"/>
    <xf borderId="1" fillId="4" fontId="6" numFmtId="0" xfId="0" applyAlignment="1" applyBorder="1" applyFill="1" applyFont="1">
      <alignment shrinkToFit="0" vertical="center" wrapText="1"/>
    </xf>
    <xf borderId="1" fillId="0" fontId="8"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4" numFmtId="0" xfId="0" applyAlignment="1" applyBorder="1" applyFont="1">
      <alignment shrinkToFit="0" vertical="center" wrapText="1"/>
    </xf>
    <xf borderId="1" fillId="0" fontId="14" numFmtId="0" xfId="0" applyAlignment="1" applyBorder="1" applyFont="1">
      <alignment shrinkToFit="0" vertical="top" wrapText="1"/>
    </xf>
    <xf borderId="1" fillId="0" fontId="14" numFmtId="0" xfId="0" applyAlignment="1" applyBorder="1" applyFont="1">
      <alignment horizontal="center" shrinkToFit="0" vertical="center" wrapText="1"/>
    </xf>
    <xf borderId="1" fillId="2" fontId="12" numFmtId="0" xfId="0" applyAlignment="1" applyBorder="1" applyFill="1" applyFont="1">
      <alignment shrinkToFit="0" vertical="center" wrapText="1"/>
    </xf>
    <xf borderId="1" fillId="2" fontId="12"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0" fillId="0" fontId="6" numFmtId="0" xfId="0" applyAlignment="1" applyFont="1">
      <alignment shrinkToFit="0" vertical="bottom" wrapText="0"/>
    </xf>
    <xf borderId="2" fillId="5" fontId="12" numFmtId="0" xfId="0" applyAlignment="1" applyBorder="1" applyFill="1" applyFont="1">
      <alignment horizontal="center" shrinkToFit="0" vertical="center" wrapText="1"/>
    </xf>
    <xf borderId="2" fillId="0" fontId="14" numFmtId="0" xfId="0" applyAlignment="1" applyBorder="1" applyFont="1">
      <alignment shrinkToFit="0" vertical="center" wrapText="1"/>
    </xf>
    <xf borderId="0" fillId="0" fontId="12"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38325" cy="45720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4381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28800" cy="457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66900" cy="4667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3" width="78.0"/>
    <col customWidth="1" min="4" max="26" width="8.71"/>
  </cols>
  <sheetData>
    <row r="1" ht="37.5" customHeight="1">
      <c r="A1" s="1"/>
      <c r="B1" s="1"/>
      <c r="C1" s="1"/>
    </row>
    <row r="2" ht="19.5" customHeight="1">
      <c r="A2" s="1"/>
      <c r="B2" s="3" t="s">
        <v>0</v>
      </c>
    </row>
    <row r="3" ht="15.0" customHeight="1">
      <c r="A3" s="1"/>
      <c r="B3" s="4" t="s">
        <v>2</v>
      </c>
    </row>
    <row r="4">
      <c r="A4" s="1"/>
      <c r="B4" s="1"/>
      <c r="C4" s="1"/>
    </row>
    <row r="5" ht="27.75" customHeight="1">
      <c r="A5" s="1"/>
      <c r="B5" s="7" t="s">
        <v>5</v>
      </c>
      <c r="C5" s="9" t="s">
        <v>7</v>
      </c>
    </row>
    <row r="6" ht="27.75" customHeight="1">
      <c r="A6" s="1"/>
      <c r="B6" s="7" t="s">
        <v>14</v>
      </c>
      <c r="C6" s="9" t="s">
        <v>17</v>
      </c>
    </row>
    <row r="7" ht="27.75" customHeight="1">
      <c r="A7" s="1"/>
      <c r="B7" s="7" t="s">
        <v>20</v>
      </c>
      <c r="C7" s="11" t="s">
        <v>24</v>
      </c>
    </row>
    <row r="8" ht="27.75" customHeight="1">
      <c r="A8" s="1"/>
      <c r="B8" s="7" t="s">
        <v>26</v>
      </c>
      <c r="C8" s="9" t="s">
        <v>27</v>
      </c>
    </row>
    <row r="9" ht="27.75" customHeight="1">
      <c r="A9" s="1"/>
      <c r="B9" s="7" t="s">
        <v>28</v>
      </c>
      <c r="C9" s="11" t="s">
        <v>29</v>
      </c>
    </row>
    <row r="10" ht="27.75" customHeight="1">
      <c r="A10" s="1"/>
      <c r="B10" s="7" t="s">
        <v>31</v>
      </c>
      <c r="C10" s="9" t="s">
        <v>32</v>
      </c>
    </row>
    <row r="11" ht="27.75" customHeight="1">
      <c r="A11" s="1"/>
      <c r="B11" s="7" t="s">
        <v>34</v>
      </c>
      <c r="C11" s="9" t="s">
        <v>37</v>
      </c>
    </row>
    <row r="12" ht="27.75" customHeight="1">
      <c r="A12" s="1"/>
      <c r="B12" s="7" t="s">
        <v>39</v>
      </c>
      <c r="C12" s="11" t="s">
        <v>41</v>
      </c>
    </row>
    <row r="13" ht="15.0" customHeight="1">
      <c r="A13" s="1"/>
      <c r="B13" s="16" t="s">
        <v>43</v>
      </c>
      <c r="C13" s="1"/>
    </row>
    <row r="14" ht="15.0" customHeight="1">
      <c r="A14" s="1"/>
      <c r="B14" s="19" t="s">
        <v>46</v>
      </c>
    </row>
    <row r="15" ht="15.0" customHeight="1">
      <c r="A15" s="1"/>
    </row>
    <row r="16" ht="15.0" customHeight="1">
      <c r="A16" s="1"/>
    </row>
    <row r="17">
      <c r="A17" s="1"/>
      <c r="B17" s="1"/>
      <c r="C17" s="1"/>
    </row>
    <row r="18" ht="15.0" customHeight="1">
      <c r="A18" s="1"/>
      <c r="B18" s="16" t="s">
        <v>48</v>
      </c>
      <c r="C18" s="1"/>
    </row>
    <row r="19" ht="45.0" customHeight="1">
      <c r="A19" s="1"/>
      <c r="B19" s="28" t="s">
        <v>49</v>
      </c>
      <c r="C19" s="11" t="s">
        <v>70</v>
      </c>
    </row>
    <row r="20" ht="45.0" customHeight="1">
      <c r="A20" s="1"/>
      <c r="B20" s="28" t="s">
        <v>75</v>
      </c>
      <c r="C20" s="11" t="s">
        <v>77</v>
      </c>
    </row>
    <row r="21" ht="45.0" customHeight="1">
      <c r="A21" s="1"/>
      <c r="B21" s="28" t="s">
        <v>78</v>
      </c>
      <c r="C21" s="11" t="s">
        <v>81</v>
      </c>
    </row>
    <row r="22" ht="45.0" customHeight="1">
      <c r="A22" s="1"/>
      <c r="B22" s="28" t="s">
        <v>83</v>
      </c>
      <c r="C22" s="11" t="s">
        <v>84</v>
      </c>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3">
    <mergeCell ref="B2:C2"/>
    <mergeCell ref="B3:C3"/>
    <mergeCell ref="B14:C1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6.0"/>
    <col customWidth="1" min="3" max="3" width="58.0"/>
    <col customWidth="1" min="4" max="4" width="22.0"/>
    <col customWidth="1" min="5" max="5" width="14.0"/>
    <col customWidth="1" min="6" max="26" width="8.71"/>
  </cols>
  <sheetData>
    <row r="1" ht="37.5" customHeight="1">
      <c r="A1" s="2"/>
      <c r="B1" s="2"/>
      <c r="C1" s="2"/>
      <c r="D1" s="2"/>
      <c r="E1" s="2"/>
    </row>
    <row r="2" ht="15.75" customHeight="1">
      <c r="A2" s="5" t="s">
        <v>1</v>
      </c>
    </row>
    <row r="3">
      <c r="A3" s="1"/>
      <c r="B3" s="1"/>
      <c r="C3" s="1"/>
      <c r="D3" s="1"/>
      <c r="E3" s="1"/>
    </row>
    <row r="4" ht="21.75" customHeight="1">
      <c r="A4" s="8" t="s">
        <v>6</v>
      </c>
      <c r="B4" s="8" t="s">
        <v>9</v>
      </c>
      <c r="C4" s="8" t="s">
        <v>10</v>
      </c>
      <c r="D4" s="8" t="s">
        <v>11</v>
      </c>
      <c r="E4" s="8" t="s">
        <v>13</v>
      </c>
    </row>
    <row r="5" ht="18.0" customHeight="1">
      <c r="A5" s="12" t="s">
        <v>22</v>
      </c>
      <c r="B5" s="12">
        <v>1.0</v>
      </c>
      <c r="C5" s="14" t="s">
        <v>35</v>
      </c>
      <c r="D5" s="12" t="s">
        <v>42</v>
      </c>
      <c r="E5" s="17" t="s">
        <v>45</v>
      </c>
    </row>
    <row r="6" ht="18.0" customHeight="1">
      <c r="A6" s="20" t="s">
        <v>47</v>
      </c>
      <c r="B6" s="20">
        <v>2.0</v>
      </c>
      <c r="C6" s="22" t="s">
        <v>50</v>
      </c>
      <c r="D6" s="20" t="s">
        <v>10</v>
      </c>
      <c r="E6" s="20" t="s">
        <v>51</v>
      </c>
    </row>
    <row r="7" ht="18.0" customHeight="1">
      <c r="A7" s="29" t="s">
        <v>52</v>
      </c>
      <c r="B7" s="29">
        <v>3.0</v>
      </c>
      <c r="C7" s="28" t="s">
        <v>79</v>
      </c>
      <c r="D7" s="29" t="s">
        <v>12</v>
      </c>
      <c r="E7" s="29" t="s">
        <v>51</v>
      </c>
    </row>
    <row r="8" ht="18.0" customHeight="1">
      <c r="A8" s="29" t="s">
        <v>60</v>
      </c>
      <c r="B8" s="29">
        <v>3.0</v>
      </c>
      <c r="C8" s="28" t="s">
        <v>86</v>
      </c>
      <c r="D8" s="29" t="s">
        <v>12</v>
      </c>
      <c r="E8" s="29" t="s">
        <v>51</v>
      </c>
    </row>
    <row r="9" ht="18.0" customHeight="1">
      <c r="A9" s="29" t="s">
        <v>65</v>
      </c>
      <c r="B9" s="29">
        <v>3.0</v>
      </c>
      <c r="C9" s="28" t="s">
        <v>88</v>
      </c>
      <c r="D9" s="29" t="s">
        <v>12</v>
      </c>
      <c r="E9" s="29" t="s">
        <v>51</v>
      </c>
    </row>
    <row r="10" ht="18.0" customHeight="1">
      <c r="A10" s="29" t="s">
        <v>69</v>
      </c>
      <c r="B10" s="29">
        <v>3.0</v>
      </c>
      <c r="C10" s="28" t="s">
        <v>91</v>
      </c>
      <c r="D10" s="29" t="s">
        <v>12</v>
      </c>
      <c r="E10" s="29" t="s">
        <v>51</v>
      </c>
    </row>
    <row r="11" ht="18.0" customHeight="1">
      <c r="A11" s="20" t="s">
        <v>97</v>
      </c>
      <c r="B11" s="20">
        <v>2.0</v>
      </c>
      <c r="C11" s="22" t="s">
        <v>98</v>
      </c>
      <c r="D11" s="20" t="s">
        <v>10</v>
      </c>
      <c r="E11" s="20" t="s">
        <v>100</v>
      </c>
    </row>
    <row r="12" ht="18.0" customHeight="1">
      <c r="A12" s="29" t="s">
        <v>104</v>
      </c>
      <c r="B12" s="29">
        <v>3.0</v>
      </c>
      <c r="C12" s="28" t="s">
        <v>106</v>
      </c>
      <c r="D12" s="29" t="s">
        <v>108</v>
      </c>
      <c r="E12" s="29" t="s">
        <v>100</v>
      </c>
    </row>
    <row r="13" ht="18.0" customHeight="1">
      <c r="A13" s="23" t="s">
        <v>90</v>
      </c>
      <c r="B13" s="23">
        <v>4.0</v>
      </c>
      <c r="C13" s="11" t="s">
        <v>118</v>
      </c>
      <c r="D13" s="23" t="s">
        <v>12</v>
      </c>
      <c r="E13" s="23" t="s">
        <v>100</v>
      </c>
    </row>
    <row r="14" ht="18.0" customHeight="1">
      <c r="A14" s="23" t="s">
        <v>101</v>
      </c>
      <c r="B14" s="23">
        <v>4.0</v>
      </c>
      <c r="C14" s="11" t="s">
        <v>124</v>
      </c>
      <c r="D14" s="23" t="s">
        <v>12</v>
      </c>
      <c r="E14" s="23" t="s">
        <v>100</v>
      </c>
    </row>
    <row r="15" ht="18.0" customHeight="1">
      <c r="A15" s="23" t="s">
        <v>109</v>
      </c>
      <c r="B15" s="23">
        <v>4.0</v>
      </c>
      <c r="C15" s="11" t="s">
        <v>130</v>
      </c>
      <c r="D15" s="23" t="s">
        <v>12</v>
      </c>
      <c r="E15" s="23" t="s">
        <v>100</v>
      </c>
    </row>
    <row r="16" ht="18.0" customHeight="1">
      <c r="A16" s="29" t="s">
        <v>134</v>
      </c>
      <c r="B16" s="29">
        <v>3.0</v>
      </c>
      <c r="C16" s="28" t="s">
        <v>136</v>
      </c>
      <c r="D16" s="29" t="s">
        <v>108</v>
      </c>
      <c r="E16" s="29" t="s">
        <v>100</v>
      </c>
    </row>
    <row r="17" ht="18.0" customHeight="1">
      <c r="A17" s="23" t="s">
        <v>115</v>
      </c>
      <c r="B17" s="23">
        <v>4.0</v>
      </c>
      <c r="C17" s="11" t="s">
        <v>142</v>
      </c>
      <c r="D17" s="23" t="s">
        <v>12</v>
      </c>
      <c r="E17" s="23" t="s">
        <v>100</v>
      </c>
    </row>
    <row r="18" ht="18.0" customHeight="1">
      <c r="A18" s="23" t="s">
        <v>120</v>
      </c>
      <c r="B18" s="23">
        <v>4.0</v>
      </c>
      <c r="C18" s="11" t="s">
        <v>147</v>
      </c>
      <c r="D18" s="23" t="s">
        <v>12</v>
      </c>
      <c r="E18" s="23" t="s">
        <v>100</v>
      </c>
    </row>
    <row r="19" ht="18.0" customHeight="1">
      <c r="A19" s="23" t="s">
        <v>125</v>
      </c>
      <c r="B19" s="23">
        <v>4.0</v>
      </c>
      <c r="C19" s="11" t="s">
        <v>159</v>
      </c>
      <c r="D19" s="23" t="s">
        <v>12</v>
      </c>
      <c r="E19" s="23" t="s">
        <v>100</v>
      </c>
    </row>
    <row r="20" ht="18.0" customHeight="1">
      <c r="A20" s="23" t="s">
        <v>131</v>
      </c>
      <c r="B20" s="23">
        <v>4.0</v>
      </c>
      <c r="C20" s="11" t="s">
        <v>164</v>
      </c>
      <c r="D20" s="23" t="s">
        <v>12</v>
      </c>
      <c r="E20" s="23" t="s">
        <v>100</v>
      </c>
    </row>
    <row r="21" ht="18.0" customHeight="1">
      <c r="A21" s="23" t="s">
        <v>138</v>
      </c>
      <c r="B21" s="23">
        <v>4.0</v>
      </c>
      <c r="C21" s="11" t="s">
        <v>165</v>
      </c>
      <c r="D21" s="23" t="s">
        <v>12</v>
      </c>
      <c r="E21" s="23" t="s">
        <v>100</v>
      </c>
    </row>
    <row r="22" ht="18.0" customHeight="1">
      <c r="A22" s="29" t="s">
        <v>169</v>
      </c>
      <c r="B22" s="29">
        <v>3.0</v>
      </c>
      <c r="C22" s="28" t="s">
        <v>171</v>
      </c>
      <c r="D22" s="29" t="s">
        <v>108</v>
      </c>
      <c r="E22" s="29" t="s">
        <v>100</v>
      </c>
    </row>
    <row r="23" ht="18.0" customHeight="1">
      <c r="A23" s="23" t="s">
        <v>143</v>
      </c>
      <c r="B23" s="23">
        <v>4.0</v>
      </c>
      <c r="C23" s="11" t="s">
        <v>177</v>
      </c>
      <c r="D23" s="23" t="s">
        <v>12</v>
      </c>
      <c r="E23" s="23" t="s">
        <v>100</v>
      </c>
    </row>
    <row r="24" ht="18.0" customHeight="1">
      <c r="A24" s="23" t="s">
        <v>148</v>
      </c>
      <c r="B24" s="23">
        <v>4.0</v>
      </c>
      <c r="C24" s="11" t="s">
        <v>184</v>
      </c>
      <c r="D24" s="23" t="s">
        <v>12</v>
      </c>
      <c r="E24" s="23" t="s">
        <v>100</v>
      </c>
    </row>
    <row r="25" ht="18.0" customHeight="1">
      <c r="A25" s="23" t="s">
        <v>153</v>
      </c>
      <c r="B25" s="23">
        <v>4.0</v>
      </c>
      <c r="C25" s="11" t="s">
        <v>191</v>
      </c>
      <c r="D25" s="23" t="s">
        <v>12</v>
      </c>
      <c r="E25" s="23" t="s">
        <v>100</v>
      </c>
    </row>
    <row r="26" ht="18.0" customHeight="1">
      <c r="A26" s="29" t="s">
        <v>198</v>
      </c>
      <c r="B26" s="29">
        <v>3.0</v>
      </c>
      <c r="C26" s="28" t="s">
        <v>199</v>
      </c>
      <c r="D26" s="29" t="s">
        <v>108</v>
      </c>
      <c r="E26" s="29" t="s">
        <v>100</v>
      </c>
    </row>
    <row r="27" ht="18.0" customHeight="1">
      <c r="A27" s="23" t="s">
        <v>157</v>
      </c>
      <c r="B27" s="23">
        <v>4.0</v>
      </c>
      <c r="C27" s="11" t="s">
        <v>208</v>
      </c>
      <c r="D27" s="23" t="s">
        <v>12</v>
      </c>
      <c r="E27" s="23" t="s">
        <v>100</v>
      </c>
    </row>
    <row r="28" ht="18.0" customHeight="1">
      <c r="A28" s="20" t="s">
        <v>214</v>
      </c>
      <c r="B28" s="20">
        <v>2.0</v>
      </c>
      <c r="C28" s="22" t="s">
        <v>218</v>
      </c>
      <c r="D28" s="20" t="s">
        <v>10</v>
      </c>
      <c r="E28" s="20" t="s">
        <v>221</v>
      </c>
    </row>
    <row r="29" ht="18.0" customHeight="1">
      <c r="A29" s="29" t="s">
        <v>223</v>
      </c>
      <c r="B29" s="29">
        <v>3.0</v>
      </c>
      <c r="C29" s="28" t="s">
        <v>226</v>
      </c>
      <c r="D29" s="29" t="s">
        <v>108</v>
      </c>
      <c r="E29" s="29" t="s">
        <v>221</v>
      </c>
    </row>
    <row r="30" ht="18.0" customHeight="1">
      <c r="A30" s="23" t="s">
        <v>166</v>
      </c>
      <c r="B30" s="23">
        <v>4.0</v>
      </c>
      <c r="C30" s="11" t="s">
        <v>233</v>
      </c>
      <c r="D30" s="23" t="s">
        <v>12</v>
      </c>
      <c r="E30" s="23" t="s">
        <v>221</v>
      </c>
    </row>
    <row r="31" ht="18.0" customHeight="1">
      <c r="A31" s="23" t="s">
        <v>173</v>
      </c>
      <c r="B31" s="23">
        <v>4.0</v>
      </c>
      <c r="C31" s="11" t="s">
        <v>236</v>
      </c>
      <c r="D31" s="23" t="s">
        <v>12</v>
      </c>
      <c r="E31" s="23" t="s">
        <v>221</v>
      </c>
    </row>
    <row r="32" ht="18.0" customHeight="1">
      <c r="A32" s="29" t="s">
        <v>245</v>
      </c>
      <c r="B32" s="29">
        <v>3.0</v>
      </c>
      <c r="C32" s="28" t="s">
        <v>248</v>
      </c>
      <c r="D32" s="29" t="s">
        <v>108</v>
      </c>
      <c r="E32" s="29" t="s">
        <v>221</v>
      </c>
    </row>
    <row r="33" ht="18.0" customHeight="1">
      <c r="A33" s="23" t="s">
        <v>178</v>
      </c>
      <c r="B33" s="23">
        <v>4.0</v>
      </c>
      <c r="C33" s="11" t="s">
        <v>255</v>
      </c>
      <c r="D33" s="23" t="s">
        <v>12</v>
      </c>
      <c r="E33" s="23" t="s">
        <v>221</v>
      </c>
    </row>
    <row r="34" ht="18.0" customHeight="1">
      <c r="A34" s="23" t="s">
        <v>185</v>
      </c>
      <c r="B34" s="23">
        <v>4.0</v>
      </c>
      <c r="C34" s="11" t="s">
        <v>262</v>
      </c>
      <c r="D34" s="23" t="s">
        <v>12</v>
      </c>
      <c r="E34" s="23" t="s">
        <v>221</v>
      </c>
    </row>
    <row r="35" ht="18.0" customHeight="1">
      <c r="A35" s="23" t="s">
        <v>192</v>
      </c>
      <c r="B35" s="23">
        <v>4.0</v>
      </c>
      <c r="C35" s="11" t="s">
        <v>267</v>
      </c>
      <c r="D35" s="23" t="s">
        <v>12</v>
      </c>
      <c r="E35" s="23" t="s">
        <v>221</v>
      </c>
    </row>
    <row r="36" ht="18.0" customHeight="1">
      <c r="A36" s="29" t="s">
        <v>272</v>
      </c>
      <c r="B36" s="29">
        <v>3.0</v>
      </c>
      <c r="C36" s="28" t="s">
        <v>274</v>
      </c>
      <c r="D36" s="29" t="s">
        <v>108</v>
      </c>
      <c r="E36" s="29" t="s">
        <v>221</v>
      </c>
    </row>
    <row r="37" ht="18.0" customHeight="1">
      <c r="A37" s="23" t="s">
        <v>200</v>
      </c>
      <c r="B37" s="23">
        <v>4.0</v>
      </c>
      <c r="C37" s="11" t="s">
        <v>282</v>
      </c>
      <c r="D37" s="23" t="s">
        <v>12</v>
      </c>
      <c r="E37" s="23" t="s">
        <v>221</v>
      </c>
    </row>
    <row r="38" ht="18.0" customHeight="1">
      <c r="A38" s="23" t="s">
        <v>206</v>
      </c>
      <c r="B38" s="23">
        <v>4.0</v>
      </c>
      <c r="C38" s="11" t="s">
        <v>289</v>
      </c>
      <c r="D38" s="23" t="s">
        <v>12</v>
      </c>
      <c r="E38" s="23" t="s">
        <v>221</v>
      </c>
    </row>
    <row r="39" ht="18.0" customHeight="1">
      <c r="A39" s="23" t="s">
        <v>215</v>
      </c>
      <c r="B39" s="23">
        <v>4.0</v>
      </c>
      <c r="C39" s="11" t="s">
        <v>298</v>
      </c>
      <c r="D39" s="23" t="s">
        <v>12</v>
      </c>
      <c r="E39" s="23" t="s">
        <v>221</v>
      </c>
    </row>
    <row r="40" ht="18.0" customHeight="1">
      <c r="A40" s="23" t="s">
        <v>224</v>
      </c>
      <c r="B40" s="23">
        <v>4.0</v>
      </c>
      <c r="C40" s="11" t="s">
        <v>306</v>
      </c>
      <c r="D40" s="23" t="s">
        <v>12</v>
      </c>
      <c r="E40" s="23" t="s">
        <v>221</v>
      </c>
    </row>
    <row r="41" ht="18.0" customHeight="1">
      <c r="A41" s="29" t="s">
        <v>314</v>
      </c>
      <c r="B41" s="29">
        <v>3.0</v>
      </c>
      <c r="C41" s="28" t="s">
        <v>316</v>
      </c>
      <c r="D41" s="29" t="s">
        <v>108</v>
      </c>
      <c r="E41" s="29" t="s">
        <v>221</v>
      </c>
    </row>
    <row r="42" ht="18.0" customHeight="1">
      <c r="A42" s="23" t="s">
        <v>234</v>
      </c>
      <c r="B42" s="23">
        <v>4.0</v>
      </c>
      <c r="C42" s="11" t="s">
        <v>324</v>
      </c>
      <c r="D42" s="23" t="s">
        <v>12</v>
      </c>
      <c r="E42" s="23" t="s">
        <v>221</v>
      </c>
    </row>
    <row r="43" ht="18.0" customHeight="1">
      <c r="A43" s="23" t="s">
        <v>243</v>
      </c>
      <c r="B43" s="23">
        <v>4.0</v>
      </c>
      <c r="C43" s="11" t="s">
        <v>332</v>
      </c>
      <c r="D43" s="23" t="s">
        <v>12</v>
      </c>
      <c r="E43" s="23" t="s">
        <v>221</v>
      </c>
    </row>
    <row r="44" ht="18.0" customHeight="1">
      <c r="A44" s="23" t="s">
        <v>251</v>
      </c>
      <c r="B44" s="23">
        <v>4.0</v>
      </c>
      <c r="C44" s="11" t="s">
        <v>336</v>
      </c>
      <c r="D44" s="23" t="s">
        <v>12</v>
      </c>
      <c r="E44" s="23" t="s">
        <v>221</v>
      </c>
    </row>
    <row r="45" ht="18.0" customHeight="1">
      <c r="A45" s="23" t="s">
        <v>258</v>
      </c>
      <c r="B45" s="23">
        <v>4.0</v>
      </c>
      <c r="C45" s="11" t="s">
        <v>337</v>
      </c>
      <c r="D45" s="23" t="s">
        <v>12</v>
      </c>
      <c r="E45" s="23" t="s">
        <v>221</v>
      </c>
    </row>
    <row r="46" ht="18.0" customHeight="1">
      <c r="A46" s="23" t="s">
        <v>264</v>
      </c>
      <c r="B46" s="23">
        <v>4.0</v>
      </c>
      <c r="C46" s="11" t="s">
        <v>338</v>
      </c>
      <c r="D46" s="23" t="s">
        <v>12</v>
      </c>
      <c r="E46" s="23" t="s">
        <v>221</v>
      </c>
    </row>
    <row r="47" ht="18.0" customHeight="1">
      <c r="A47" s="23" t="s">
        <v>268</v>
      </c>
      <c r="B47" s="23">
        <v>4.0</v>
      </c>
      <c r="C47" s="11" t="s">
        <v>343</v>
      </c>
      <c r="D47" s="23" t="s">
        <v>12</v>
      </c>
      <c r="E47" s="23" t="s">
        <v>221</v>
      </c>
    </row>
    <row r="48" ht="18.0" customHeight="1">
      <c r="A48" s="29" t="s">
        <v>348</v>
      </c>
      <c r="B48" s="29">
        <v>3.0</v>
      </c>
      <c r="C48" s="28" t="s">
        <v>350</v>
      </c>
      <c r="D48" s="29" t="s">
        <v>108</v>
      </c>
      <c r="E48" s="29" t="s">
        <v>221</v>
      </c>
    </row>
    <row r="49" ht="18.0" customHeight="1">
      <c r="A49" s="23" t="s">
        <v>275</v>
      </c>
      <c r="B49" s="23">
        <v>4.0</v>
      </c>
      <c r="C49" s="11" t="s">
        <v>355</v>
      </c>
      <c r="D49" s="23" t="s">
        <v>12</v>
      </c>
      <c r="E49" s="23" t="s">
        <v>221</v>
      </c>
    </row>
    <row r="50" ht="18.0" customHeight="1">
      <c r="A50" s="23" t="s">
        <v>284</v>
      </c>
      <c r="B50" s="23">
        <v>4.0</v>
      </c>
      <c r="C50" s="11" t="s">
        <v>359</v>
      </c>
      <c r="D50" s="23" t="s">
        <v>12</v>
      </c>
      <c r="E50" s="23" t="s">
        <v>221</v>
      </c>
    </row>
    <row r="51" ht="18.0" customHeight="1">
      <c r="A51" s="29" t="s">
        <v>360</v>
      </c>
      <c r="B51" s="29">
        <v>3.0</v>
      </c>
      <c r="C51" s="28" t="s">
        <v>362</v>
      </c>
      <c r="D51" s="29" t="s">
        <v>108</v>
      </c>
      <c r="E51" s="29" t="s">
        <v>221</v>
      </c>
    </row>
    <row r="52" ht="18.0" customHeight="1">
      <c r="A52" s="23" t="s">
        <v>292</v>
      </c>
      <c r="B52" s="23">
        <v>4.0</v>
      </c>
      <c r="C52" s="11" t="s">
        <v>363</v>
      </c>
      <c r="D52" s="23" t="s">
        <v>12</v>
      </c>
      <c r="E52" s="23" t="s">
        <v>221</v>
      </c>
    </row>
    <row r="53" ht="18.0" customHeight="1">
      <c r="A53" s="23" t="s">
        <v>301</v>
      </c>
      <c r="B53" s="23">
        <v>4.0</v>
      </c>
      <c r="C53" s="11" t="s">
        <v>364</v>
      </c>
      <c r="D53" s="23" t="s">
        <v>12</v>
      </c>
      <c r="E53" s="23" t="s">
        <v>221</v>
      </c>
    </row>
    <row r="54" ht="18.0" customHeight="1">
      <c r="A54" s="23" t="s">
        <v>310</v>
      </c>
      <c r="B54" s="23">
        <v>4.0</v>
      </c>
      <c r="C54" s="11" t="s">
        <v>365</v>
      </c>
      <c r="D54" s="23" t="s">
        <v>12</v>
      </c>
      <c r="E54" s="23" t="s">
        <v>221</v>
      </c>
    </row>
    <row r="55" ht="18.0" customHeight="1">
      <c r="A55" s="23" t="s">
        <v>317</v>
      </c>
      <c r="B55" s="23">
        <v>4.0</v>
      </c>
      <c r="C55" s="11" t="s">
        <v>366</v>
      </c>
      <c r="D55" s="23" t="s">
        <v>12</v>
      </c>
      <c r="E55" s="23" t="s">
        <v>221</v>
      </c>
    </row>
    <row r="56" ht="18.0" customHeight="1">
      <c r="A56" s="29" t="s">
        <v>367</v>
      </c>
      <c r="B56" s="29">
        <v>3.0</v>
      </c>
      <c r="C56" s="28" t="s">
        <v>368</v>
      </c>
      <c r="D56" s="29" t="s">
        <v>108</v>
      </c>
      <c r="E56" s="29" t="s">
        <v>221</v>
      </c>
    </row>
    <row r="57" ht="18.0" customHeight="1">
      <c r="A57" s="23" t="s">
        <v>323</v>
      </c>
      <c r="B57" s="23">
        <v>4.0</v>
      </c>
      <c r="C57" s="11" t="s">
        <v>369</v>
      </c>
      <c r="D57" s="23" t="s">
        <v>12</v>
      </c>
      <c r="E57" s="23" t="s">
        <v>221</v>
      </c>
    </row>
    <row r="58" ht="18.0" customHeight="1">
      <c r="A58" s="23" t="s">
        <v>330</v>
      </c>
      <c r="B58" s="23">
        <v>4.0</v>
      </c>
      <c r="C58" s="11" t="s">
        <v>370</v>
      </c>
      <c r="D58" s="23" t="s">
        <v>12</v>
      </c>
      <c r="E58" s="23" t="s">
        <v>221</v>
      </c>
    </row>
    <row r="59" ht="18.0" customHeight="1">
      <c r="A59" s="20" t="s">
        <v>371</v>
      </c>
      <c r="B59" s="20">
        <v>2.0</v>
      </c>
      <c r="C59" s="22" t="s">
        <v>372</v>
      </c>
      <c r="D59" s="20" t="s">
        <v>10</v>
      </c>
      <c r="E59" s="20" t="s">
        <v>373</v>
      </c>
    </row>
    <row r="60" ht="18.0" customHeight="1">
      <c r="A60" s="29" t="s">
        <v>339</v>
      </c>
      <c r="B60" s="29">
        <v>3.0</v>
      </c>
      <c r="C60" s="28" t="s">
        <v>374</v>
      </c>
      <c r="D60" s="29" t="s">
        <v>12</v>
      </c>
      <c r="E60" s="29" t="s">
        <v>373</v>
      </c>
    </row>
    <row r="61" ht="18.0" customHeight="1">
      <c r="A61" s="29" t="s">
        <v>344</v>
      </c>
      <c r="B61" s="29">
        <v>3.0</v>
      </c>
      <c r="C61" s="28" t="s">
        <v>375</v>
      </c>
      <c r="D61" s="29" t="s">
        <v>12</v>
      </c>
      <c r="E61" s="29" t="s">
        <v>373</v>
      </c>
    </row>
    <row r="62" ht="18.0" customHeight="1">
      <c r="A62" s="29" t="s">
        <v>351</v>
      </c>
      <c r="B62" s="29">
        <v>3.0</v>
      </c>
      <c r="C62" s="28" t="s">
        <v>376</v>
      </c>
      <c r="D62" s="29" t="s">
        <v>12</v>
      </c>
      <c r="E62" s="29" t="s">
        <v>373</v>
      </c>
    </row>
    <row r="63" ht="15.0" customHeight="1">
      <c r="A63" s="29" t="s">
        <v>356</v>
      </c>
      <c r="B63" s="29">
        <v>3.0</v>
      </c>
      <c r="C63" s="28" t="s">
        <v>377</v>
      </c>
      <c r="D63" s="29" t="s">
        <v>12</v>
      </c>
      <c r="E63" s="29" t="s">
        <v>373</v>
      </c>
    </row>
    <row r="64" ht="15.0" customHeight="1">
      <c r="A64" s="1"/>
      <c r="B64" s="1"/>
      <c r="C64" s="1"/>
      <c r="D64" s="1"/>
      <c r="E64" s="1"/>
    </row>
    <row r="65" ht="15.75" customHeight="1">
      <c r="A65" s="31" t="s">
        <v>378</v>
      </c>
      <c r="C65" s="34">
        <f>COUNTIF(D5:D63,"Paquete de trabajo")</f>
        <v>43</v>
      </c>
      <c r="D65" s="1"/>
      <c r="E65" s="1"/>
    </row>
    <row r="66" ht="15.0"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row r="1001" ht="15.75" customHeight="1">
      <c r="A1001" s="1"/>
      <c r="B1001" s="1"/>
      <c r="C1001" s="1"/>
      <c r="D1001" s="1"/>
      <c r="E1001" s="1"/>
    </row>
  </sheetData>
  <mergeCells count="2">
    <mergeCell ref="A2:E2"/>
    <mergeCell ref="A65:B6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1.0"/>
    <col customWidth="1" min="2" max="2" width="34.0"/>
    <col customWidth="1" min="3" max="3" width="62.0"/>
    <col customWidth="1" min="4" max="4" width="36.0"/>
    <col customWidth="1" min="5" max="5" width="20.0"/>
    <col customWidth="1" min="6" max="6" width="22.0"/>
    <col customWidth="1" min="7" max="7" width="14.0"/>
    <col customWidth="1" min="8" max="26" width="8.71"/>
  </cols>
  <sheetData>
    <row r="1" ht="37.5" customHeight="1">
      <c r="A1" s="2"/>
      <c r="B1" s="2"/>
      <c r="C1" s="2"/>
      <c r="D1" s="2"/>
      <c r="E1" s="2"/>
      <c r="F1" s="2"/>
      <c r="G1" s="2"/>
    </row>
    <row r="2" ht="15.75" customHeight="1">
      <c r="A2" s="2" t="s">
        <v>3</v>
      </c>
    </row>
    <row r="3" ht="15.0" customHeight="1">
      <c r="A3" s="6" t="s">
        <v>4</v>
      </c>
    </row>
    <row r="4">
      <c r="A4" s="1"/>
      <c r="B4" s="1"/>
      <c r="C4" s="1"/>
      <c r="D4" s="1"/>
      <c r="E4" s="1"/>
      <c r="F4" s="1"/>
      <c r="G4" s="1"/>
    </row>
    <row r="5" ht="24.0" customHeight="1">
      <c r="A5" s="8" t="s">
        <v>6</v>
      </c>
      <c r="B5" s="8" t="s">
        <v>12</v>
      </c>
      <c r="C5" s="8" t="s">
        <v>15</v>
      </c>
      <c r="D5" s="8" t="s">
        <v>18</v>
      </c>
      <c r="E5" s="8" t="s">
        <v>19</v>
      </c>
      <c r="F5" s="8" t="s">
        <v>21</v>
      </c>
      <c r="G5" s="8" t="s">
        <v>23</v>
      </c>
    </row>
    <row r="6" ht="19.5" customHeight="1">
      <c r="A6" s="13" t="s">
        <v>25</v>
      </c>
      <c r="B6" s="15"/>
      <c r="C6" s="15"/>
      <c r="D6" s="15"/>
      <c r="E6" s="15"/>
      <c r="F6" s="15"/>
      <c r="G6" s="21"/>
    </row>
    <row r="7" ht="39.75" customHeight="1">
      <c r="A7" s="24" t="s">
        <v>52</v>
      </c>
      <c r="B7" s="26" t="s">
        <v>54</v>
      </c>
      <c r="C7" s="26" t="s">
        <v>55</v>
      </c>
      <c r="D7" s="26" t="s">
        <v>56</v>
      </c>
      <c r="E7" s="27" t="s">
        <v>57</v>
      </c>
      <c r="F7" s="26" t="s">
        <v>58</v>
      </c>
      <c r="G7" s="27" t="s">
        <v>59</v>
      </c>
    </row>
    <row r="8" ht="39.75" customHeight="1">
      <c r="A8" s="24" t="s">
        <v>60</v>
      </c>
      <c r="B8" s="26" t="s">
        <v>61</v>
      </c>
      <c r="C8" s="26" t="s">
        <v>62</v>
      </c>
      <c r="D8" s="26" t="s">
        <v>63</v>
      </c>
      <c r="E8" s="27" t="s">
        <v>57</v>
      </c>
      <c r="F8" s="26" t="s">
        <v>58</v>
      </c>
      <c r="G8" s="27" t="s">
        <v>64</v>
      </c>
    </row>
    <row r="9" ht="39.75" customHeight="1">
      <c r="A9" s="24" t="s">
        <v>65</v>
      </c>
      <c r="B9" s="26" t="s">
        <v>66</v>
      </c>
      <c r="C9" s="26" t="s">
        <v>67</v>
      </c>
      <c r="D9" s="26" t="s">
        <v>68</v>
      </c>
      <c r="E9" s="27" t="s">
        <v>57</v>
      </c>
      <c r="F9" s="26" t="s">
        <v>58</v>
      </c>
      <c r="G9" s="27" t="s">
        <v>59</v>
      </c>
    </row>
    <row r="10" ht="39.75" customHeight="1">
      <c r="A10" s="24" t="s">
        <v>69</v>
      </c>
      <c r="B10" s="26" t="s">
        <v>71</v>
      </c>
      <c r="C10" s="26" t="s">
        <v>72</v>
      </c>
      <c r="D10" s="26" t="s">
        <v>73</v>
      </c>
      <c r="E10" s="27" t="s">
        <v>57</v>
      </c>
      <c r="F10" s="26" t="s">
        <v>74</v>
      </c>
      <c r="G10" s="27" t="s">
        <v>76</v>
      </c>
    </row>
    <row r="11" ht="19.5" customHeight="1">
      <c r="A11" s="13" t="s">
        <v>80</v>
      </c>
      <c r="B11" s="15"/>
      <c r="C11" s="15"/>
      <c r="D11" s="15"/>
      <c r="E11" s="15"/>
      <c r="F11" s="15"/>
      <c r="G11" s="21"/>
    </row>
    <row r="12" ht="39.75" customHeight="1">
      <c r="A12" s="24" t="s">
        <v>90</v>
      </c>
      <c r="B12" s="26" t="s">
        <v>93</v>
      </c>
      <c r="C12" s="26" t="s">
        <v>94</v>
      </c>
      <c r="D12" s="26" t="s">
        <v>95</v>
      </c>
      <c r="E12" s="27" t="s">
        <v>57</v>
      </c>
      <c r="F12" s="26" t="s">
        <v>58</v>
      </c>
      <c r="G12" s="27" t="s">
        <v>99</v>
      </c>
    </row>
    <row r="13" ht="39.75" customHeight="1">
      <c r="A13" s="24" t="s">
        <v>101</v>
      </c>
      <c r="B13" s="26" t="s">
        <v>103</v>
      </c>
      <c r="C13" s="26" t="s">
        <v>105</v>
      </c>
      <c r="D13" s="26" t="s">
        <v>95</v>
      </c>
      <c r="E13" s="27" t="s">
        <v>57</v>
      </c>
      <c r="F13" s="26" t="s">
        <v>58</v>
      </c>
      <c r="G13" s="27" t="s">
        <v>99</v>
      </c>
    </row>
    <row r="14" ht="39.75" customHeight="1">
      <c r="A14" s="24" t="s">
        <v>109</v>
      </c>
      <c r="B14" s="26" t="s">
        <v>110</v>
      </c>
      <c r="C14" s="26" t="s">
        <v>111</v>
      </c>
      <c r="D14" s="26" t="s">
        <v>112</v>
      </c>
      <c r="E14" s="27" t="s">
        <v>57</v>
      </c>
      <c r="F14" s="26" t="s">
        <v>113</v>
      </c>
      <c r="G14" s="27" t="s">
        <v>114</v>
      </c>
    </row>
    <row r="15" ht="39.75" customHeight="1">
      <c r="A15" s="24" t="s">
        <v>115</v>
      </c>
      <c r="B15" s="26" t="s">
        <v>116</v>
      </c>
      <c r="C15" s="26" t="s">
        <v>117</v>
      </c>
      <c r="D15" s="26" t="s">
        <v>95</v>
      </c>
      <c r="E15" s="27" t="s">
        <v>57</v>
      </c>
      <c r="F15" s="26" t="s">
        <v>113</v>
      </c>
      <c r="G15" s="27" t="s">
        <v>114</v>
      </c>
    </row>
    <row r="16" ht="39.75" customHeight="1">
      <c r="A16" s="24" t="s">
        <v>120</v>
      </c>
      <c r="B16" s="26" t="s">
        <v>121</v>
      </c>
      <c r="C16" s="26" t="s">
        <v>122</v>
      </c>
      <c r="D16" s="26" t="s">
        <v>123</v>
      </c>
      <c r="E16" s="27" t="s">
        <v>57</v>
      </c>
      <c r="F16" s="26" t="s">
        <v>113</v>
      </c>
      <c r="G16" s="27" t="s">
        <v>114</v>
      </c>
    </row>
    <row r="17" ht="39.75" customHeight="1">
      <c r="A17" s="24" t="s">
        <v>125</v>
      </c>
      <c r="B17" s="26" t="s">
        <v>126</v>
      </c>
      <c r="C17" s="26" t="s">
        <v>127</v>
      </c>
      <c r="D17" s="26" t="s">
        <v>128</v>
      </c>
      <c r="E17" s="27" t="s">
        <v>129</v>
      </c>
      <c r="F17" s="26" t="s">
        <v>113</v>
      </c>
      <c r="G17" s="27" t="s">
        <v>114</v>
      </c>
    </row>
    <row r="18" ht="39.75" customHeight="1">
      <c r="A18" s="24" t="s">
        <v>131</v>
      </c>
      <c r="B18" s="26" t="s">
        <v>132</v>
      </c>
      <c r="C18" s="26" t="s">
        <v>133</v>
      </c>
      <c r="D18" s="26" t="s">
        <v>135</v>
      </c>
      <c r="E18" s="27" t="s">
        <v>129</v>
      </c>
      <c r="F18" s="26" t="s">
        <v>137</v>
      </c>
      <c r="G18" s="27" t="s">
        <v>114</v>
      </c>
    </row>
    <row r="19" ht="39.75" customHeight="1">
      <c r="A19" s="24" t="s">
        <v>138</v>
      </c>
      <c r="B19" s="26" t="s">
        <v>139</v>
      </c>
      <c r="C19" s="26" t="s">
        <v>140</v>
      </c>
      <c r="D19" s="26" t="s">
        <v>141</v>
      </c>
      <c r="E19" s="27" t="s">
        <v>57</v>
      </c>
      <c r="F19" s="26" t="s">
        <v>58</v>
      </c>
      <c r="G19" s="27" t="s">
        <v>114</v>
      </c>
    </row>
    <row r="20" ht="39.75" customHeight="1">
      <c r="A20" s="24" t="s">
        <v>143</v>
      </c>
      <c r="B20" s="26" t="s">
        <v>144</v>
      </c>
      <c r="C20" s="26" t="s">
        <v>145</v>
      </c>
      <c r="D20" s="26" t="s">
        <v>146</v>
      </c>
      <c r="E20" s="27" t="s">
        <v>57</v>
      </c>
      <c r="F20" s="26" t="s">
        <v>137</v>
      </c>
      <c r="G20" s="27" t="s">
        <v>114</v>
      </c>
    </row>
    <row r="21" ht="39.75" customHeight="1">
      <c r="A21" s="24" t="s">
        <v>148</v>
      </c>
      <c r="B21" s="26" t="s">
        <v>149</v>
      </c>
      <c r="C21" s="26" t="s">
        <v>150</v>
      </c>
      <c r="D21" s="26" t="s">
        <v>151</v>
      </c>
      <c r="E21" s="27" t="s">
        <v>57</v>
      </c>
      <c r="F21" s="26" t="s">
        <v>137</v>
      </c>
      <c r="G21" s="27" t="s">
        <v>152</v>
      </c>
    </row>
    <row r="22" ht="39.75" customHeight="1">
      <c r="A22" s="24" t="s">
        <v>153</v>
      </c>
      <c r="B22" s="26" t="s">
        <v>154</v>
      </c>
      <c r="C22" s="26" t="s">
        <v>155</v>
      </c>
      <c r="D22" s="26" t="s">
        <v>156</v>
      </c>
      <c r="E22" s="27" t="s">
        <v>57</v>
      </c>
      <c r="F22" s="26" t="s">
        <v>137</v>
      </c>
      <c r="G22" s="27" t="s">
        <v>99</v>
      </c>
    </row>
    <row r="23" ht="39.75" customHeight="1">
      <c r="A23" s="24" t="s">
        <v>157</v>
      </c>
      <c r="B23" s="26" t="s">
        <v>158</v>
      </c>
      <c r="C23" s="26" t="s">
        <v>160</v>
      </c>
      <c r="D23" s="26" t="s">
        <v>161</v>
      </c>
      <c r="E23" s="27" t="s">
        <v>57</v>
      </c>
      <c r="F23" s="26" t="s">
        <v>137</v>
      </c>
      <c r="G23" s="27" t="s">
        <v>162</v>
      </c>
    </row>
    <row r="24" ht="39.75" customHeight="1">
      <c r="A24" s="13" t="s">
        <v>163</v>
      </c>
      <c r="B24" s="15"/>
      <c r="C24" s="15"/>
      <c r="D24" s="15"/>
      <c r="E24" s="15"/>
      <c r="F24" s="15"/>
      <c r="G24" s="21"/>
    </row>
    <row r="25" ht="19.5" customHeight="1">
      <c r="A25" s="24" t="s">
        <v>166</v>
      </c>
      <c r="B25" s="26" t="s">
        <v>167</v>
      </c>
      <c r="C25" s="26" t="s">
        <v>168</v>
      </c>
      <c r="D25" s="26" t="s">
        <v>170</v>
      </c>
      <c r="E25" s="27" t="s">
        <v>57</v>
      </c>
      <c r="F25" s="26" t="s">
        <v>137</v>
      </c>
      <c r="G25" s="27" t="s">
        <v>172</v>
      </c>
    </row>
    <row r="26" ht="39.75" customHeight="1">
      <c r="A26" s="24" t="s">
        <v>173</v>
      </c>
      <c r="B26" s="26" t="s">
        <v>174</v>
      </c>
      <c r="C26" s="26" t="s">
        <v>175</v>
      </c>
      <c r="D26" s="26" t="s">
        <v>176</v>
      </c>
      <c r="E26" s="27" t="s">
        <v>57</v>
      </c>
      <c r="F26" s="26" t="s">
        <v>113</v>
      </c>
      <c r="G26" s="27" t="s">
        <v>172</v>
      </c>
    </row>
    <row r="27" ht="39.75" customHeight="1">
      <c r="A27" s="24" t="s">
        <v>178</v>
      </c>
      <c r="B27" s="26" t="s">
        <v>179</v>
      </c>
      <c r="C27" s="26" t="s">
        <v>180</v>
      </c>
      <c r="D27" s="26" t="s">
        <v>181</v>
      </c>
      <c r="E27" s="27" t="s">
        <v>182</v>
      </c>
      <c r="F27" s="26" t="s">
        <v>113</v>
      </c>
      <c r="G27" s="27" t="s">
        <v>183</v>
      </c>
    </row>
    <row r="28" ht="39.75" customHeight="1">
      <c r="A28" s="24" t="s">
        <v>185</v>
      </c>
      <c r="B28" s="26" t="s">
        <v>186</v>
      </c>
      <c r="C28" s="26" t="s">
        <v>187</v>
      </c>
      <c r="D28" s="26" t="s">
        <v>188</v>
      </c>
      <c r="E28" s="27" t="s">
        <v>182</v>
      </c>
      <c r="F28" s="26" t="s">
        <v>189</v>
      </c>
      <c r="G28" s="27" t="s">
        <v>183</v>
      </c>
    </row>
    <row r="29" ht="39.75" customHeight="1">
      <c r="A29" s="24" t="s">
        <v>192</v>
      </c>
      <c r="B29" s="26" t="s">
        <v>193</v>
      </c>
      <c r="C29" s="26" t="s">
        <v>195</v>
      </c>
      <c r="D29" s="26" t="s">
        <v>196</v>
      </c>
      <c r="E29" s="27" t="s">
        <v>182</v>
      </c>
      <c r="F29" s="26" t="s">
        <v>189</v>
      </c>
      <c r="G29" s="27" t="s">
        <v>183</v>
      </c>
    </row>
    <row r="30" ht="39.75" customHeight="1">
      <c r="A30" s="24" t="s">
        <v>200</v>
      </c>
      <c r="B30" s="26" t="s">
        <v>201</v>
      </c>
      <c r="C30" s="26" t="s">
        <v>202</v>
      </c>
      <c r="D30" s="26" t="s">
        <v>203</v>
      </c>
      <c r="E30" s="27" t="s">
        <v>204</v>
      </c>
      <c r="F30" s="26" t="s">
        <v>113</v>
      </c>
      <c r="G30" s="27" t="s">
        <v>205</v>
      </c>
    </row>
    <row r="31" ht="39.75" customHeight="1">
      <c r="A31" s="24" t="s">
        <v>206</v>
      </c>
      <c r="B31" s="26" t="s">
        <v>207</v>
      </c>
      <c r="C31" s="26" t="s">
        <v>209</v>
      </c>
      <c r="D31" s="26" t="s">
        <v>210</v>
      </c>
      <c r="E31" s="27" t="s">
        <v>211</v>
      </c>
      <c r="F31" s="26" t="s">
        <v>113</v>
      </c>
      <c r="G31" s="27" t="s">
        <v>212</v>
      </c>
    </row>
    <row r="32" ht="39.75" customHeight="1">
      <c r="A32" s="24" t="s">
        <v>215</v>
      </c>
      <c r="B32" s="26" t="s">
        <v>217</v>
      </c>
      <c r="C32" s="26" t="s">
        <v>219</v>
      </c>
      <c r="D32" s="26" t="s">
        <v>210</v>
      </c>
      <c r="E32" s="27" t="s">
        <v>220</v>
      </c>
      <c r="F32" s="26" t="s">
        <v>113</v>
      </c>
      <c r="G32" s="27" t="s">
        <v>222</v>
      </c>
    </row>
    <row r="33" ht="39.75" customHeight="1">
      <c r="A33" s="24" t="s">
        <v>224</v>
      </c>
      <c r="B33" s="26" t="s">
        <v>225</v>
      </c>
      <c r="C33" s="26" t="s">
        <v>227</v>
      </c>
      <c r="D33" s="26" t="s">
        <v>228</v>
      </c>
      <c r="E33" s="27" t="s">
        <v>229</v>
      </c>
      <c r="F33" s="26" t="s">
        <v>113</v>
      </c>
      <c r="G33" s="27" t="s">
        <v>230</v>
      </c>
    </row>
    <row r="34" ht="39.75" customHeight="1">
      <c r="A34" s="24" t="s">
        <v>234</v>
      </c>
      <c r="B34" s="26" t="s">
        <v>235</v>
      </c>
      <c r="C34" s="26" t="s">
        <v>237</v>
      </c>
      <c r="D34" s="26" t="s">
        <v>239</v>
      </c>
      <c r="E34" s="27" t="s">
        <v>240</v>
      </c>
      <c r="F34" s="26" t="s">
        <v>189</v>
      </c>
      <c r="G34" s="27" t="s">
        <v>242</v>
      </c>
    </row>
    <row r="35" ht="39.75" customHeight="1">
      <c r="A35" s="24" t="s">
        <v>243</v>
      </c>
      <c r="B35" s="26" t="s">
        <v>244</v>
      </c>
      <c r="C35" s="26" t="s">
        <v>246</v>
      </c>
      <c r="D35" s="26" t="s">
        <v>239</v>
      </c>
      <c r="E35" s="27" t="s">
        <v>247</v>
      </c>
      <c r="F35" s="26" t="s">
        <v>189</v>
      </c>
      <c r="G35" s="27" t="s">
        <v>249</v>
      </c>
    </row>
    <row r="36" ht="39.75" customHeight="1">
      <c r="A36" s="24" t="s">
        <v>251</v>
      </c>
      <c r="B36" s="26" t="s">
        <v>252</v>
      </c>
      <c r="C36" s="26" t="s">
        <v>254</v>
      </c>
      <c r="D36" s="26" t="s">
        <v>239</v>
      </c>
      <c r="E36" s="27" t="s">
        <v>256</v>
      </c>
      <c r="F36" s="26" t="s">
        <v>189</v>
      </c>
      <c r="G36" s="27" t="s">
        <v>257</v>
      </c>
    </row>
    <row r="37" ht="39.75" customHeight="1">
      <c r="A37" s="24" t="s">
        <v>258</v>
      </c>
      <c r="B37" s="26" t="s">
        <v>259</v>
      </c>
      <c r="C37" s="26" t="s">
        <v>260</v>
      </c>
      <c r="D37" s="26" t="s">
        <v>239</v>
      </c>
      <c r="E37" s="27" t="s">
        <v>261</v>
      </c>
      <c r="F37" s="26" t="s">
        <v>189</v>
      </c>
      <c r="G37" s="27" t="s">
        <v>263</v>
      </c>
    </row>
    <row r="38" ht="39.75" customHeight="1">
      <c r="A38" s="24" t="s">
        <v>264</v>
      </c>
      <c r="B38" s="26" t="s">
        <v>265</v>
      </c>
      <c r="C38" s="26" t="s">
        <v>266</v>
      </c>
      <c r="D38" s="26" t="s">
        <v>239</v>
      </c>
      <c r="E38" s="27" t="s">
        <v>220</v>
      </c>
      <c r="F38" s="26" t="s">
        <v>189</v>
      </c>
      <c r="G38" s="27" t="s">
        <v>222</v>
      </c>
    </row>
    <row r="39" ht="39.75" customHeight="1">
      <c r="A39" s="24" t="s">
        <v>268</v>
      </c>
      <c r="B39" s="26" t="s">
        <v>269</v>
      </c>
      <c r="C39" s="26" t="s">
        <v>270</v>
      </c>
      <c r="D39" s="26" t="s">
        <v>239</v>
      </c>
      <c r="E39" s="27" t="s">
        <v>273</v>
      </c>
      <c r="F39" s="26" t="s">
        <v>189</v>
      </c>
      <c r="G39" s="27" t="s">
        <v>212</v>
      </c>
    </row>
    <row r="40" ht="39.75" customHeight="1">
      <c r="A40" s="24" t="s">
        <v>275</v>
      </c>
      <c r="B40" s="26" t="s">
        <v>276</v>
      </c>
      <c r="C40" s="26" t="s">
        <v>278</v>
      </c>
      <c r="D40" s="26" t="s">
        <v>279</v>
      </c>
      <c r="E40" s="27" t="s">
        <v>281</v>
      </c>
      <c r="F40" s="26" t="s">
        <v>189</v>
      </c>
      <c r="G40" s="27" t="s">
        <v>242</v>
      </c>
    </row>
    <row r="41" ht="39.75" customHeight="1">
      <c r="A41" s="24" t="s">
        <v>284</v>
      </c>
      <c r="B41" s="26" t="s">
        <v>285</v>
      </c>
      <c r="C41" s="26" t="s">
        <v>286</v>
      </c>
      <c r="D41" s="26" t="s">
        <v>287</v>
      </c>
      <c r="E41" s="27" t="s">
        <v>288</v>
      </c>
      <c r="F41" s="26" t="s">
        <v>189</v>
      </c>
      <c r="G41" s="27" t="s">
        <v>290</v>
      </c>
    </row>
    <row r="42" ht="39.75" customHeight="1">
      <c r="A42" s="24" t="s">
        <v>292</v>
      </c>
      <c r="B42" s="26" t="s">
        <v>294</v>
      </c>
      <c r="C42" s="26" t="s">
        <v>295</v>
      </c>
      <c r="D42" s="26" t="s">
        <v>297</v>
      </c>
      <c r="E42" s="27" t="s">
        <v>299</v>
      </c>
      <c r="F42" s="26" t="s">
        <v>137</v>
      </c>
      <c r="G42" s="27" t="s">
        <v>300</v>
      </c>
    </row>
    <row r="43" ht="39.75" customHeight="1">
      <c r="A43" s="24" t="s">
        <v>301</v>
      </c>
      <c r="B43" s="26" t="s">
        <v>302</v>
      </c>
      <c r="C43" s="26" t="s">
        <v>303</v>
      </c>
      <c r="D43" s="26" t="s">
        <v>304</v>
      </c>
      <c r="E43" s="27" t="s">
        <v>305</v>
      </c>
      <c r="F43" s="26" t="s">
        <v>137</v>
      </c>
      <c r="G43" s="27" t="s">
        <v>307</v>
      </c>
    </row>
    <row r="44" ht="39.75" customHeight="1">
      <c r="A44" s="24" t="s">
        <v>310</v>
      </c>
      <c r="B44" s="26" t="s">
        <v>311</v>
      </c>
      <c r="C44" s="26" t="s">
        <v>312</v>
      </c>
      <c r="D44" s="26" t="s">
        <v>315</v>
      </c>
      <c r="E44" s="27" t="s">
        <v>299</v>
      </c>
      <c r="F44" s="26" t="s">
        <v>137</v>
      </c>
      <c r="G44" s="27" t="s">
        <v>307</v>
      </c>
    </row>
    <row r="45" ht="39.75" customHeight="1">
      <c r="A45" s="24" t="s">
        <v>317</v>
      </c>
      <c r="B45" s="26" t="s">
        <v>318</v>
      </c>
      <c r="C45" s="26" t="s">
        <v>319</v>
      </c>
      <c r="D45" s="26" t="s">
        <v>320</v>
      </c>
      <c r="E45" s="27" t="s">
        <v>57</v>
      </c>
      <c r="F45" s="26" t="s">
        <v>113</v>
      </c>
      <c r="G45" s="27" t="s">
        <v>307</v>
      </c>
    </row>
    <row r="46" ht="39.75" customHeight="1">
      <c r="A46" s="24" t="s">
        <v>323</v>
      </c>
      <c r="B46" s="26" t="s">
        <v>325</v>
      </c>
      <c r="C46" s="26" t="s">
        <v>327</v>
      </c>
      <c r="D46" s="26" t="s">
        <v>328</v>
      </c>
      <c r="E46" s="27" t="s">
        <v>57</v>
      </c>
      <c r="F46" s="26" t="s">
        <v>137</v>
      </c>
      <c r="G46" s="27" t="s">
        <v>329</v>
      </c>
    </row>
    <row r="47" ht="39.75" customHeight="1">
      <c r="A47" s="24" t="s">
        <v>330</v>
      </c>
      <c r="B47" s="26" t="s">
        <v>331</v>
      </c>
      <c r="C47" s="26" t="s">
        <v>333</v>
      </c>
      <c r="D47" s="26" t="s">
        <v>328</v>
      </c>
      <c r="E47" s="27" t="s">
        <v>57</v>
      </c>
      <c r="F47" s="26" t="s">
        <v>137</v>
      </c>
      <c r="G47" s="27" t="s">
        <v>334</v>
      </c>
    </row>
    <row r="48" ht="19.5" customHeight="1">
      <c r="A48" s="13" t="s">
        <v>335</v>
      </c>
      <c r="B48" s="15"/>
      <c r="C48" s="15"/>
      <c r="D48" s="15"/>
      <c r="E48" s="15"/>
      <c r="F48" s="15"/>
      <c r="G48" s="21"/>
    </row>
    <row r="49" ht="39.75" customHeight="1">
      <c r="A49" s="24" t="s">
        <v>339</v>
      </c>
      <c r="B49" s="26" t="s">
        <v>340</v>
      </c>
      <c r="C49" s="26" t="s">
        <v>341</v>
      </c>
      <c r="D49" s="26" t="s">
        <v>342</v>
      </c>
      <c r="E49" s="27" t="s">
        <v>57</v>
      </c>
      <c r="F49" s="26" t="s">
        <v>137</v>
      </c>
      <c r="G49" s="27" t="s">
        <v>334</v>
      </c>
    </row>
    <row r="50" ht="39.75" customHeight="1">
      <c r="A50" s="24" t="s">
        <v>344</v>
      </c>
      <c r="B50" s="26" t="s">
        <v>345</v>
      </c>
      <c r="C50" s="26" t="s">
        <v>346</v>
      </c>
      <c r="D50" s="26" t="s">
        <v>347</v>
      </c>
      <c r="E50" s="27" t="s">
        <v>57</v>
      </c>
      <c r="F50" s="26" t="s">
        <v>137</v>
      </c>
      <c r="G50" s="27" t="s">
        <v>349</v>
      </c>
    </row>
    <row r="51" ht="39.75" customHeight="1">
      <c r="A51" s="24" t="s">
        <v>351</v>
      </c>
      <c r="B51" s="26" t="s">
        <v>352</v>
      </c>
      <c r="C51" s="26" t="s">
        <v>353</v>
      </c>
      <c r="D51" s="26" t="s">
        <v>161</v>
      </c>
      <c r="E51" s="27" t="s">
        <v>57</v>
      </c>
      <c r="F51" s="26" t="s">
        <v>137</v>
      </c>
      <c r="G51" s="27" t="s">
        <v>354</v>
      </c>
    </row>
    <row r="52" ht="21.75" customHeight="1">
      <c r="A52" s="24" t="s">
        <v>356</v>
      </c>
      <c r="B52" s="26" t="s">
        <v>357</v>
      </c>
      <c r="C52" s="26" t="s">
        <v>358</v>
      </c>
      <c r="D52" s="26" t="s">
        <v>161</v>
      </c>
      <c r="E52" s="27" t="s">
        <v>57</v>
      </c>
      <c r="F52" s="26" t="s">
        <v>137</v>
      </c>
      <c r="G52" s="27" t="s">
        <v>361</v>
      </c>
    </row>
    <row r="53" ht="21.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row r="1001" ht="15.75" customHeight="1">
      <c r="A1001" s="1"/>
      <c r="B1001" s="1"/>
      <c r="C1001" s="1"/>
      <c r="D1001" s="1"/>
      <c r="E1001" s="1"/>
      <c r="F1001" s="1"/>
      <c r="G1001" s="1"/>
    </row>
  </sheetData>
  <mergeCells count="6">
    <mergeCell ref="A2:G2"/>
    <mergeCell ref="A3:G3"/>
    <mergeCell ref="A6:G6"/>
    <mergeCell ref="A11:G11"/>
    <mergeCell ref="A24:G24"/>
    <mergeCell ref="A48:G4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3" width="22.0"/>
    <col customWidth="1" min="4" max="4" width="52.0"/>
    <col customWidth="1" min="5" max="5" width="14.0"/>
    <col customWidth="1" min="6" max="26" width="8.71"/>
  </cols>
  <sheetData>
    <row r="1" ht="37.5" customHeight="1">
      <c r="A1" s="2"/>
      <c r="B1" s="2"/>
      <c r="C1" s="2"/>
      <c r="D1" s="2"/>
      <c r="E1" s="2"/>
    </row>
    <row r="2" ht="15.75" customHeight="1">
      <c r="A2" s="2" t="s">
        <v>8</v>
      </c>
    </row>
    <row r="3" ht="30.0" customHeight="1">
      <c r="A3" s="10" t="s">
        <v>16</v>
      </c>
    </row>
    <row r="4">
      <c r="A4" s="1"/>
      <c r="B4" s="1"/>
      <c r="C4" s="1"/>
      <c r="D4" s="1"/>
      <c r="E4" s="1"/>
    </row>
    <row r="5" ht="21.75" customHeight="1">
      <c r="A5" s="8" t="s">
        <v>30</v>
      </c>
      <c r="B5" s="8" t="s">
        <v>33</v>
      </c>
      <c r="C5" s="8" t="s">
        <v>36</v>
      </c>
      <c r="D5" s="8" t="s">
        <v>38</v>
      </c>
      <c r="E5" s="8" t="s">
        <v>40</v>
      </c>
    </row>
    <row r="6" ht="25.5" customHeight="1">
      <c r="A6" s="18" t="s">
        <v>44</v>
      </c>
      <c r="B6" s="23">
        <v>6.0</v>
      </c>
      <c r="C6" s="23">
        <v>6.0</v>
      </c>
      <c r="D6" s="25" t="s">
        <v>53</v>
      </c>
      <c r="E6" s="30" t="str">
        <f t="shared" ref="E6:E10" si="1">IF(B6=C6,"Completo","Revisar")</f>
        <v>Completo</v>
      </c>
    </row>
    <row r="7" ht="25.5" customHeight="1">
      <c r="A7" s="18" t="s">
        <v>82</v>
      </c>
      <c r="B7" s="23">
        <v>13.0</v>
      </c>
      <c r="C7" s="23">
        <v>13.0</v>
      </c>
      <c r="D7" s="25" t="s">
        <v>85</v>
      </c>
      <c r="E7" s="30" t="str">
        <f t="shared" si="1"/>
        <v>Completo</v>
      </c>
    </row>
    <row r="8" ht="25.5" customHeight="1">
      <c r="A8" s="18" t="s">
        <v>87</v>
      </c>
      <c r="B8" s="23">
        <v>20.0</v>
      </c>
      <c r="C8" s="23">
        <v>20.0</v>
      </c>
      <c r="D8" s="25" t="s">
        <v>89</v>
      </c>
      <c r="E8" s="30" t="str">
        <f t="shared" si="1"/>
        <v>Completo</v>
      </c>
    </row>
    <row r="9" ht="25.5" customHeight="1">
      <c r="A9" s="18" t="s">
        <v>92</v>
      </c>
      <c r="B9" s="23">
        <v>12.0</v>
      </c>
      <c r="C9" s="23">
        <v>12.0</v>
      </c>
      <c r="D9" s="25" t="s">
        <v>96</v>
      </c>
      <c r="E9" s="30" t="str">
        <f t="shared" si="1"/>
        <v>Completo</v>
      </c>
    </row>
    <row r="10" ht="25.5" customHeight="1">
      <c r="A10" s="18" t="s">
        <v>102</v>
      </c>
      <c r="B10" s="23">
        <v>10.0</v>
      </c>
      <c r="C10" s="23">
        <v>10.0</v>
      </c>
      <c r="D10" s="25" t="s">
        <v>107</v>
      </c>
      <c r="E10" s="30" t="str">
        <f t="shared" si="1"/>
        <v>Completo</v>
      </c>
    </row>
    <row r="11">
      <c r="A11" s="1"/>
      <c r="B11" s="1"/>
      <c r="C11" s="1"/>
      <c r="D11" s="1"/>
      <c r="E11" s="1"/>
    </row>
    <row r="12" ht="15.0" customHeight="1">
      <c r="A12" s="31" t="s">
        <v>119</v>
      </c>
      <c r="B12" s="32" t="str">
        <f>IF(SUMPRODUCT(--(B6:B10&lt;&gt;C6:C10))=0,"Regla del 100% verificada","Existen diferencias por revisar")</f>
        <v>Regla del 100% verificada</v>
      </c>
      <c r="C12" s="15"/>
      <c r="D12" s="21"/>
      <c r="E12" s="1"/>
    </row>
    <row r="13">
      <c r="A13" s="1"/>
      <c r="B13" s="1"/>
      <c r="C13" s="1"/>
      <c r="D13" s="1"/>
      <c r="E13" s="1"/>
    </row>
    <row r="14">
      <c r="A14" s="1"/>
      <c r="B14" s="1"/>
      <c r="C14" s="1"/>
      <c r="D14" s="1"/>
      <c r="E14" s="1"/>
    </row>
    <row r="15" ht="15.0" customHeight="1">
      <c r="A15" s="16" t="s">
        <v>190</v>
      </c>
      <c r="B15" s="1"/>
      <c r="C15" s="1"/>
      <c r="D15" s="1"/>
      <c r="E15" s="1"/>
    </row>
    <row r="16" ht="33.75" customHeight="1">
      <c r="A16" s="28" t="s">
        <v>194</v>
      </c>
      <c r="B16" s="33" t="s">
        <v>197</v>
      </c>
      <c r="C16" s="15"/>
      <c r="D16" s="15"/>
      <c r="E16" s="21"/>
    </row>
    <row r="17" ht="33.75" customHeight="1">
      <c r="A17" s="28" t="s">
        <v>213</v>
      </c>
      <c r="B17" s="33" t="s">
        <v>216</v>
      </c>
      <c r="C17" s="15"/>
      <c r="D17" s="15"/>
      <c r="E17" s="21"/>
    </row>
    <row r="18" ht="33.75" customHeight="1">
      <c r="A18" s="28" t="s">
        <v>231</v>
      </c>
      <c r="B18" s="33" t="s">
        <v>232</v>
      </c>
      <c r="C18" s="15"/>
      <c r="D18" s="15"/>
      <c r="E18" s="21"/>
    </row>
    <row r="19" ht="33.75" customHeight="1">
      <c r="A19" s="28" t="s">
        <v>238</v>
      </c>
      <c r="B19" s="33" t="s">
        <v>241</v>
      </c>
      <c r="C19" s="15"/>
      <c r="D19" s="15"/>
      <c r="E19" s="21"/>
    </row>
    <row r="20" ht="33.75" customHeight="1">
      <c r="A20" s="28" t="s">
        <v>250</v>
      </c>
      <c r="B20" s="33" t="s">
        <v>253</v>
      </c>
      <c r="C20" s="15"/>
      <c r="D20" s="15"/>
      <c r="E20" s="21"/>
    </row>
    <row r="21">
      <c r="A21" s="1"/>
      <c r="B21" s="1"/>
      <c r="C21" s="1"/>
      <c r="D21" s="1"/>
      <c r="E21" s="1"/>
    </row>
    <row r="22" ht="15.75" customHeight="1">
      <c r="A22" s="1"/>
      <c r="B22" s="1"/>
      <c r="C22" s="1"/>
      <c r="D22" s="1"/>
      <c r="E22" s="1"/>
    </row>
    <row r="23" ht="15.0" customHeight="1">
      <c r="A23" s="16" t="s">
        <v>271</v>
      </c>
      <c r="B23" s="1"/>
      <c r="C23" s="1"/>
      <c r="D23" s="1"/>
      <c r="E23" s="1"/>
    </row>
    <row r="24" ht="15.0" customHeight="1">
      <c r="A24" s="8" t="s">
        <v>277</v>
      </c>
      <c r="B24" s="8" t="s">
        <v>280</v>
      </c>
      <c r="C24" s="8" t="s">
        <v>283</v>
      </c>
      <c r="D24" s="1"/>
      <c r="E24" s="1"/>
    </row>
    <row r="25" ht="30.0" customHeight="1">
      <c r="A25" s="27" t="s">
        <v>291</v>
      </c>
      <c r="B25" s="27" t="s">
        <v>293</v>
      </c>
      <c r="C25" s="33" t="s">
        <v>296</v>
      </c>
      <c r="D25" s="15"/>
      <c r="E25" s="21"/>
    </row>
    <row r="26" ht="43.5" customHeight="1">
      <c r="A26" s="27" t="s">
        <v>308</v>
      </c>
      <c r="B26" s="27" t="s">
        <v>309</v>
      </c>
      <c r="C26" s="33" t="s">
        <v>313</v>
      </c>
      <c r="D26" s="15"/>
      <c r="E26" s="21"/>
    </row>
    <row r="27" ht="48.0" customHeight="1">
      <c r="A27" s="27" t="s">
        <v>321</v>
      </c>
      <c r="B27" s="27" t="s">
        <v>322</v>
      </c>
      <c r="C27" s="33" t="s">
        <v>326</v>
      </c>
      <c r="D27" s="15"/>
      <c r="E27" s="2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row r="1001" ht="15.75" customHeight="1">
      <c r="A1001" s="1"/>
      <c r="B1001" s="1"/>
      <c r="C1001" s="1"/>
      <c r="D1001" s="1"/>
      <c r="E1001" s="1"/>
    </row>
  </sheetData>
  <mergeCells count="11">
    <mergeCell ref="B20:E20"/>
    <mergeCell ref="C25:E25"/>
    <mergeCell ref="C26:E26"/>
    <mergeCell ref="C27:E27"/>
    <mergeCell ref="A2:E2"/>
    <mergeCell ref="A3:E3"/>
    <mergeCell ref="B12:D12"/>
    <mergeCell ref="B16:E16"/>
    <mergeCell ref="B17:E17"/>
    <mergeCell ref="B18:E18"/>
    <mergeCell ref="B19:E19"/>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2026-09-03T06:26:50Z</dcterms:created>
  <dc:creator>openpyxl</dc:creator>
</cp:coreProperties>
</file>

<file path=docProps/custom.xml><?xml version="1.0" encoding="utf-8"?>
<Properties xmlns="http://schemas.openxmlformats.org/officeDocument/2006/custom-properties" xmlns:vt="http://schemas.openxmlformats.org/officeDocument/2006/docPropsVTypes"/>
</file>