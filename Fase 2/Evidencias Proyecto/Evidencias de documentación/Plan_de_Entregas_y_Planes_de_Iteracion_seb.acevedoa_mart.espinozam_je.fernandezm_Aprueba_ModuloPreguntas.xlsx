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lan de entregas" sheetId="1" state="visible" r:id="rId1"/>
    <sheet xmlns:r="http://schemas.openxmlformats.org/officeDocument/2006/relationships" name="Iteración 1" sheetId="2" state="visible" r:id="rId2"/>
    <sheet xmlns:r="http://schemas.openxmlformats.org/officeDocument/2006/relationships" name="Iteración 2" sheetId="3" state="visible" r:id="rId3"/>
    <sheet xmlns:r="http://schemas.openxmlformats.org/officeDocument/2006/relationships" name="Iteración 3" sheetId="4" state="visible" r:id="rId4"/>
    <sheet xmlns:r="http://schemas.openxmlformats.org/officeDocument/2006/relationships" name="Iteración 4" sheetId="5" state="visible" r:id="rId5"/>
    <sheet xmlns:r="http://schemas.openxmlformats.org/officeDocument/2006/relationships" name="Iteración 5" sheetId="6" state="visible" r:id="rId6"/>
    <sheet xmlns:r="http://schemas.openxmlformats.org/officeDocument/2006/relationships" name="Iteración 6" sheetId="7" state="visible" r:id="rId7"/>
  </sheets>
  <definedNames/>
  <calcPr calcId="124519" fullCalcOnLoad="1"/>
</workbook>
</file>

<file path=xl/styles.xml><?xml version="1.0" encoding="utf-8"?>
<styleSheet xmlns="http://schemas.openxmlformats.org/spreadsheetml/2006/main">
  <numFmts count="0"/>
  <fonts count="12">
    <font>
      <name val="Calibri"/>
      <color theme="1"/>
      <sz val="11"/>
      <scheme val="minor"/>
    </font>
    <font>
      <name val="Calibri"/>
      <color theme="1"/>
      <sz val="11"/>
    </font>
    <font>
      <name val="Calibri"/>
      <b val="1"/>
      <color rgb="FF000000"/>
      <sz val="15"/>
    </font>
    <font>
      <name val="Calibri"/>
      <color rgb="FF000000"/>
      <sz val="11"/>
    </font>
    <font>
      <name val="Calibri"/>
      <color rgb="FF000000"/>
      <sz val="10"/>
    </font>
    <font>
      <name val="Calibri"/>
      <color rgb="FF595959"/>
      <sz val="10"/>
    </font>
    <font>
      <name val="Calibri"/>
      <i val="1"/>
      <color rgb="FF595959"/>
      <sz val="10"/>
    </font>
    <font>
      <name val="Calibri"/>
      <b val="1"/>
      <color rgb="FFFFFFFF"/>
      <sz val="10"/>
    </font>
    <font>
      <name val="Calibri"/>
      <b val="1"/>
      <color theme="1"/>
      <sz val="10"/>
    </font>
    <font>
      <name val="Calibri"/>
      <color theme="1"/>
      <sz val="10"/>
    </font>
    <font/>
    <font>
      <name val="Calibri"/>
      <b val="1"/>
      <color rgb="FF000000"/>
      <sz val="12"/>
    </font>
  </fonts>
  <fills count="6">
    <fill>
      <patternFill/>
    </fill>
    <fill>
      <patternFill patternType="lightGray"/>
    </fill>
    <fill>
      <patternFill patternType="solid">
        <fgColor rgb="FFFFFFFF"/>
        <bgColor rgb="FFFFFFFF"/>
      </patternFill>
    </fill>
    <fill>
      <patternFill patternType="solid">
        <fgColor rgb="FF000000"/>
        <bgColor rgb="FF000000"/>
      </patternFill>
    </fill>
    <fill>
      <patternFill patternType="solid">
        <fgColor rgb="FFD9D9D9"/>
        <bgColor rgb="FFD9D9D9"/>
      </patternFill>
    </fill>
    <fill>
      <patternFill patternType="solid">
        <fgColor rgb="FFF2F2F2"/>
        <bgColor rgb="FFF2F2F2"/>
      </patternFill>
    </fill>
  </fills>
  <borders count="8">
    <border/>
    <border>
      <left/>
      <right/>
      <top/>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top style="thin">
        <color rgb="FFBFBFBF"/>
      </top>
    </border>
    <border>
      <right style="thin">
        <color rgb="FFBFBFBF"/>
      </right>
      <top style="thin">
        <color rgb="FFBFBFBF"/>
      </top>
    </border>
  </borders>
  <cellStyleXfs count="1">
    <xf numFmtId="0" fontId="0" fillId="0" borderId="0"/>
  </cellStyleXfs>
  <cellXfs count="25">
    <xf numFmtId="0" fontId="0" fillId="0" borderId="0" applyAlignment="1" pivotButton="0" quotePrefix="0" xfId="0">
      <alignment vertical="bottom"/>
    </xf>
    <xf numFmtId="0" fontId="1" fillId="0" borderId="0" applyAlignment="1" pivotButton="0" quotePrefix="0" xfId="0">
      <alignment vertical="bottom"/>
    </xf>
    <xf numFmtId="0" fontId="2" fillId="2" borderId="1" applyAlignment="1" pivotButton="0" quotePrefix="0" xfId="0">
      <alignment vertical="bottom"/>
    </xf>
    <xf numFmtId="0" fontId="3" fillId="2" borderId="1" applyAlignment="1" pivotButton="0" quotePrefix="0" xfId="0">
      <alignment vertical="bottom"/>
    </xf>
    <xf numFmtId="0" fontId="1" fillId="0" borderId="0" pivotButton="0" quotePrefix="0" xfId="0"/>
    <xf numFmtId="0" fontId="4" fillId="2" borderId="1" applyAlignment="1" pivotButton="0" quotePrefix="0" xfId="0">
      <alignment vertical="bottom"/>
    </xf>
    <xf numFmtId="0" fontId="5" fillId="0" borderId="0" applyAlignment="1" pivotButton="0" quotePrefix="0" xfId="0">
      <alignment vertical="top" wrapText="1"/>
    </xf>
    <xf numFmtId="0" fontId="6" fillId="0" borderId="0" applyAlignment="1" pivotButton="0" quotePrefix="0" xfId="0">
      <alignment vertical="bottom"/>
    </xf>
    <xf numFmtId="0" fontId="7" fillId="3" borderId="2" applyAlignment="1" pivotButton="0" quotePrefix="0" xfId="0">
      <alignment horizontal="center" vertical="center" wrapText="1"/>
    </xf>
    <xf numFmtId="0" fontId="8" fillId="4" borderId="2" applyAlignment="1" pivotButton="0" quotePrefix="0" xfId="0">
      <alignment vertical="top" wrapText="1"/>
    </xf>
    <xf numFmtId="0" fontId="8" fillId="0" borderId="2" applyAlignment="1" pivotButton="0" quotePrefix="0" xfId="0">
      <alignment horizontal="center" vertical="top" wrapText="1"/>
    </xf>
    <xf numFmtId="0" fontId="9" fillId="0" borderId="3" applyAlignment="1" pivotButton="0" quotePrefix="0" xfId="0">
      <alignment vertical="top" wrapText="1"/>
    </xf>
    <xf numFmtId="0" fontId="9" fillId="0" borderId="2" applyAlignment="1" pivotButton="0" quotePrefix="0" xfId="0">
      <alignment vertical="top" wrapText="1"/>
    </xf>
    <xf numFmtId="0" fontId="10" fillId="0" borderId="4" pivotButton="0" quotePrefix="0" xfId="0"/>
    <xf numFmtId="0" fontId="10" fillId="0" borderId="5" pivotButton="0" quotePrefix="0" xfId="0"/>
    <xf numFmtId="0" fontId="9" fillId="0" borderId="2" applyAlignment="1" pivotButton="0" quotePrefix="0" xfId="0">
      <alignment horizontal="center" vertical="top" wrapText="1"/>
    </xf>
    <xf numFmtId="0" fontId="11" fillId="0" borderId="0" applyAlignment="1" pivotButton="0" quotePrefix="0" xfId="0">
      <alignment vertical="bottom"/>
    </xf>
    <xf numFmtId="0" fontId="8" fillId="0" borderId="2" applyAlignment="1" pivotButton="0" quotePrefix="0" xfId="0">
      <alignment vertical="top" wrapText="1"/>
    </xf>
    <xf numFmtId="0" fontId="8" fillId="5" borderId="2" applyAlignment="1" pivotButton="0" quotePrefix="0" xfId="0">
      <alignment vertical="top" wrapText="1"/>
    </xf>
    <xf numFmtId="0" fontId="7" fillId="3" borderId="3" applyAlignment="1" pivotButton="0" quotePrefix="0" xfId="0">
      <alignment horizontal="center" vertical="center" wrapText="1"/>
    </xf>
    <xf numFmtId="0" fontId="9" fillId="0" borderId="3" applyAlignment="1" pivotButton="0" quotePrefix="0" xfId="0">
      <alignment vertical="top" wrapText="1"/>
    </xf>
    <xf numFmtId="0" fontId="8" fillId="5" borderId="2" applyAlignment="1" pivotButton="0" quotePrefix="0" xfId="0">
      <alignment horizontal="center" vertical="top" wrapText="1"/>
    </xf>
    <xf numFmtId="0" fontId="0" fillId="0" borderId="0" pivotButton="0" quotePrefix="0" xfId="0"/>
    <xf numFmtId="0" fontId="0" fillId="0" borderId="4" pivotButton="0" quotePrefix="0" xfId="0"/>
    <xf numFmtId="0" fontId="0" fillId="0" borderId="5"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jpeg" Id="rId1"/></Relationships>
</file>

<file path=xl/drawings/_rels/drawing2.xml.rels><Relationships xmlns="http://schemas.openxmlformats.org/package/2006/relationships"><Relationship Type="http://schemas.openxmlformats.org/officeDocument/2006/relationships/image" Target="/xl/media/image2.jpeg" Id="rId1"/></Relationships>
</file>

<file path=xl/drawings/_rels/drawing3.xml.rels><Relationships xmlns="http://schemas.openxmlformats.org/package/2006/relationships"><Relationship Type="http://schemas.openxmlformats.org/officeDocument/2006/relationships/image" Target="/xl/media/image3.jpeg" Id="rId1"/></Relationships>
</file>

<file path=xl/drawings/_rels/drawing4.xml.rels><Relationships xmlns="http://schemas.openxmlformats.org/package/2006/relationships"><Relationship Type="http://schemas.openxmlformats.org/officeDocument/2006/relationships/image" Target="/xl/media/image4.jpeg" Id="rId1"/></Relationships>
</file>

<file path=xl/drawings/_rels/drawing5.xml.rels><Relationships xmlns="http://schemas.openxmlformats.org/package/2006/relationships"><Relationship Type="http://schemas.openxmlformats.org/officeDocument/2006/relationships/image" Target="/xl/media/image5.jpeg" Id="rId1"/></Relationships>
</file>

<file path=xl/drawings/_rels/drawing6.xml.rels><Relationships xmlns="http://schemas.openxmlformats.org/package/2006/relationships"><Relationship Type="http://schemas.openxmlformats.org/officeDocument/2006/relationships/image" Target="/xl/media/image6.jpeg" Id="rId1"/></Relationships>
</file>

<file path=xl/drawings/_rels/drawing7.xml.rels><Relationships xmlns="http://schemas.openxmlformats.org/package/2006/relationships"><Relationship Type="http://schemas.openxmlformats.org/officeDocument/2006/relationships/image" Target="/xl/media/image7.jpeg" Id="rId1"/></Relationships>
</file>

<file path=xl/drawings/drawing1.xml><?xml version="1.0" encoding="utf-8"?>
<wsDr xmlns="http://schemas.openxmlformats.org/drawingml/2006/spreadsheetDrawing">
  <oneCellAnchor>
    <from>
      <col>0</col>
      <colOff>0</colOff>
      <row>0</row>
      <rowOff>0</rowOff>
    </from>
    <ext cx="1381125" cy="342900"/>
    <pic>
      <nvPicPr>
        <cNvPr id="0" name="image1.jpg" descr="Pictur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0</col>
      <colOff>0</colOff>
      <row>0</row>
      <rowOff>0</rowOff>
    </from>
    <ext cx="1381125" cy="342900"/>
    <pic>
      <nvPicPr>
        <cNvPr id="0" name="image1.jpg" descr="Pictur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3.xml><?xml version="1.0" encoding="utf-8"?>
<wsDr xmlns="http://schemas.openxmlformats.org/drawingml/2006/spreadsheetDrawing">
  <oneCellAnchor>
    <from>
      <col>0</col>
      <colOff>0</colOff>
      <row>0</row>
      <rowOff>0</rowOff>
    </from>
    <ext cx="1381125" cy="342900"/>
    <pic>
      <nvPicPr>
        <cNvPr id="0" name="image1.jpg" descr="Pictur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4.xml><?xml version="1.0" encoding="utf-8"?>
<wsDr xmlns="http://schemas.openxmlformats.org/drawingml/2006/spreadsheetDrawing">
  <oneCellAnchor>
    <from>
      <col>0</col>
      <colOff>0</colOff>
      <row>0</row>
      <rowOff>0</rowOff>
    </from>
    <ext cx="1381125" cy="342900"/>
    <pic>
      <nvPicPr>
        <cNvPr id="0" name="image1.jpg" descr="Pictur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5.xml><?xml version="1.0" encoding="utf-8"?>
<wsDr xmlns="http://schemas.openxmlformats.org/drawingml/2006/spreadsheetDrawing">
  <oneCellAnchor>
    <from>
      <col>0</col>
      <colOff>0</colOff>
      <row>0</row>
      <rowOff>0</rowOff>
    </from>
    <ext cx="1381125" cy="342900"/>
    <pic>
      <nvPicPr>
        <cNvPr id="0" name="image1.jpg" descr="Pictur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6.xml><?xml version="1.0" encoding="utf-8"?>
<wsDr xmlns="http://schemas.openxmlformats.org/drawingml/2006/spreadsheetDrawing">
  <oneCellAnchor>
    <from>
      <col>0</col>
      <colOff>0</colOff>
      <row>0</row>
      <rowOff>0</rowOff>
    </from>
    <ext cx="3076575" cy="762000"/>
    <pic>
      <nvPicPr>
        <cNvPr id="0" name="image1.jpg" descr="Pictur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7.xml><?xml version="1.0" encoding="utf-8"?>
<wsDr xmlns="http://schemas.openxmlformats.org/drawingml/2006/spreadsheetDrawing">
  <oneCellAnchor>
    <from>
      <col>0</col>
      <colOff>0</colOff>
      <row>0</row>
      <rowOff>0</rowOff>
    </from>
    <ext cx="3076575" cy="762000"/>
    <pic>
      <nvPicPr>
        <cNvPr id="0" name="image1.jpg" descr="Pictur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sheet1.xml><?xml version="1.0" encoding="utf-8"?>
<worksheet xmlns="http://schemas.openxmlformats.org/spreadsheetml/2006/main">
  <sheetPr>
    <outlinePr summaryBelow="1" summaryRight="1"/>
    <pageSetUpPr fitToPage="1"/>
  </sheetPr>
  <dimension ref="A1:Z1000"/>
  <sheetViews>
    <sheetView workbookViewId="0">
      <selection activeCell="A1" sqref="A1"/>
    </sheetView>
  </sheetViews>
  <sheetFormatPr baseColWidth="8" defaultColWidth="14.43" defaultRowHeight="15" customHeight="1"/>
  <cols>
    <col width="12" customWidth="1" style="22" min="1" max="1"/>
    <col width="34" customWidth="1" style="22" min="2" max="2"/>
    <col width="14" customWidth="1" style="22" min="3" max="3"/>
    <col width="20" customWidth="1" style="22" min="4" max="4"/>
    <col width="30" customWidth="1" style="22" min="5" max="5"/>
    <col width="9" customWidth="1" style="22" min="6" max="6"/>
    <col width="40" customWidth="1" style="22" min="7" max="7"/>
    <col width="36" customWidth="1" style="22" min="8" max="8"/>
  </cols>
  <sheetData>
    <row r="1" ht="24" customHeight="1" s="22">
      <c r="A1" s="1" t="n"/>
      <c r="B1" s="1" t="n"/>
      <c r="C1" s="2" t="inlineStr">
        <is>
          <t>Plan de entregas</t>
        </is>
      </c>
      <c r="D1" s="3" t="n"/>
      <c r="E1" s="3" t="n"/>
      <c r="F1" s="3" t="n"/>
      <c r="G1" s="3" t="n"/>
      <c r="H1" s="1" t="n"/>
      <c r="I1" s="4" t="n"/>
      <c r="J1" s="4" t="n"/>
      <c r="K1" s="4" t="n"/>
      <c r="L1" s="4" t="n"/>
      <c r="M1" s="4" t="n"/>
      <c r="N1" s="4" t="n"/>
      <c r="O1" s="4" t="n"/>
      <c r="P1" s="4" t="n"/>
      <c r="Q1" s="4" t="n"/>
      <c r="R1" s="4" t="n"/>
      <c r="S1" s="4" t="n"/>
      <c r="T1" s="4" t="n"/>
      <c r="U1" s="4" t="n"/>
      <c r="V1" s="4" t="n"/>
      <c r="W1" s="4" t="n"/>
      <c r="X1" s="4" t="n"/>
      <c r="Y1" s="4" t="n"/>
      <c r="Z1" s="4" t="n"/>
    </row>
    <row r="2" ht="15" customHeight="1" s="22">
      <c r="A2" s="1" t="n"/>
      <c r="B2" s="1" t="n"/>
      <c r="C2" s="5" t="inlineStr">
        <is>
          <t>App móvil Aprueba - Módulo de Preguntas · Grupo 9 · PTY4614 Capstone, sección 002D</t>
        </is>
      </c>
      <c r="D2" s="3" t="n"/>
      <c r="E2" s="3" t="n"/>
      <c r="F2" s="3" t="n"/>
      <c r="G2" s="3" t="n"/>
      <c r="H2" s="1" t="n"/>
      <c r="I2" s="4" t="n"/>
      <c r="J2" s="4" t="n"/>
      <c r="K2" s="4" t="n"/>
      <c r="L2" s="4" t="n"/>
      <c r="M2" s="4" t="n"/>
      <c r="N2" s="4" t="n"/>
      <c r="O2" s="4" t="n"/>
      <c r="P2" s="4" t="n"/>
      <c r="Q2" s="4" t="n"/>
      <c r="R2" s="4" t="n"/>
      <c r="S2" s="4" t="n"/>
      <c r="T2" s="4" t="n"/>
      <c r="U2" s="4" t="n"/>
      <c r="V2" s="4" t="n"/>
      <c r="W2" s="4" t="n"/>
      <c r="X2" s="4" t="n"/>
      <c r="Y2" s="4" t="n"/>
      <c r="Z2" s="4" t="n"/>
    </row>
    <row r="3" ht="15" customHeight="1" s="22">
      <c r="A3" s="1" t="n"/>
      <c r="B3" s="1" t="n"/>
      <c r="C3" s="5" t="inlineStr">
        <is>
          <t>Metodología: Extreme Programming · Versión 1.8 · 18 de octubre de 2026</t>
        </is>
      </c>
      <c r="D3" s="3" t="n"/>
      <c r="E3" s="3" t="n"/>
      <c r="F3" s="3" t="n"/>
      <c r="G3" s="3" t="n"/>
      <c r="H3" s="1" t="n"/>
      <c r="I3" s="4" t="n"/>
      <c r="J3" s="4" t="n"/>
      <c r="K3" s="4" t="n"/>
      <c r="L3" s="4" t="n"/>
      <c r="M3" s="4" t="n"/>
      <c r="N3" s="4" t="n"/>
      <c r="O3" s="4" t="n"/>
      <c r="P3" s="4" t="n"/>
      <c r="Q3" s="4" t="n"/>
      <c r="R3" s="4" t="n"/>
      <c r="S3" s="4" t="n"/>
      <c r="T3" s="4" t="n"/>
      <c r="U3" s="4" t="n"/>
      <c r="V3" s="4" t="n"/>
      <c r="W3" s="4" t="n"/>
      <c r="X3" s="4" t="n"/>
      <c r="Y3" s="4" t="n"/>
      <c r="Z3" s="4" t="n"/>
    </row>
    <row r="4">
      <c r="A4" s="1" t="n"/>
      <c r="B4" s="1" t="n"/>
      <c r="C4" s="1" t="n"/>
      <c r="D4" s="1" t="n"/>
      <c r="E4" s="1" t="n"/>
      <c r="F4" s="1" t="n"/>
      <c r="G4" s="1" t="n"/>
      <c r="H4" s="1" t="n"/>
      <c r="I4" s="4" t="n"/>
      <c r="J4" s="4" t="n"/>
      <c r="K4" s="4" t="n"/>
      <c r="L4" s="4" t="n"/>
      <c r="M4" s="4" t="n"/>
      <c r="N4" s="4" t="n"/>
      <c r="O4" s="4" t="n"/>
      <c r="P4" s="4" t="n"/>
      <c r="Q4" s="4" t="n"/>
      <c r="R4" s="4" t="n"/>
      <c r="S4" s="4" t="n"/>
      <c r="T4" s="4" t="n"/>
      <c r="U4" s="4" t="n"/>
      <c r="V4" s="4" t="n"/>
      <c r="W4" s="4" t="n"/>
      <c r="X4" s="4" t="n"/>
      <c r="Y4" s="4" t="n"/>
      <c r="Z4" s="4" t="n"/>
    </row>
    <row r="5" ht="21.75" customHeight="1" s="22">
      <c r="A5" s="6" t="n"/>
      <c r="I5" s="4" t="n"/>
      <c r="J5" s="4" t="n"/>
      <c r="K5" s="4" t="n"/>
      <c r="L5" s="4" t="n"/>
      <c r="M5" s="4" t="n"/>
      <c r="N5" s="4" t="n"/>
      <c r="O5" s="4" t="n"/>
      <c r="P5" s="4" t="n"/>
      <c r="Q5" s="4" t="n"/>
      <c r="R5" s="4" t="n"/>
      <c r="S5" s="4" t="n"/>
      <c r="T5" s="4" t="n"/>
      <c r="U5" s="4" t="n"/>
      <c r="V5" s="4" t="n"/>
      <c r="W5" s="4" t="n"/>
      <c r="X5" s="4" t="n"/>
      <c r="Y5" s="4" t="n"/>
      <c r="Z5" s="4" t="n"/>
    </row>
    <row r="6" ht="15" customHeight="1" s="22">
      <c r="I6" s="4" t="n"/>
      <c r="J6" s="4" t="n"/>
      <c r="K6" s="4" t="n"/>
      <c r="L6" s="4" t="n"/>
      <c r="M6" s="4" t="n"/>
      <c r="N6" s="4" t="n"/>
      <c r="O6" s="4" t="n"/>
      <c r="P6" s="4" t="n"/>
      <c r="Q6" s="4" t="n"/>
      <c r="R6" s="4" t="n"/>
      <c r="S6" s="4" t="n"/>
      <c r="T6" s="4" t="n"/>
      <c r="U6" s="4" t="n"/>
      <c r="V6" s="4" t="n"/>
      <c r="W6" s="4" t="n"/>
      <c r="X6" s="4" t="n"/>
      <c r="Y6" s="4" t="n"/>
      <c r="Z6" s="4" t="n"/>
    </row>
    <row r="7">
      <c r="A7" s="1" t="n"/>
      <c r="B7" s="1" t="n"/>
      <c r="C7" s="1" t="n"/>
      <c r="D7" s="1" t="n"/>
      <c r="E7" s="1" t="n"/>
      <c r="F7" s="1" t="n"/>
      <c r="G7" s="1" t="n"/>
      <c r="H7" s="1" t="n"/>
      <c r="I7" s="4" t="n"/>
      <c r="J7" s="4" t="n"/>
      <c r="K7" s="4" t="n"/>
      <c r="L7" s="4" t="n"/>
      <c r="M7" s="4" t="n"/>
      <c r="N7" s="4" t="n"/>
      <c r="O7" s="4" t="n"/>
      <c r="P7" s="4" t="n"/>
      <c r="Q7" s="4" t="n"/>
      <c r="R7" s="4" t="n"/>
      <c r="S7" s="4" t="n"/>
      <c r="T7" s="4" t="n"/>
      <c r="U7" s="4" t="n"/>
      <c r="V7" s="4" t="n"/>
      <c r="W7" s="4" t="n"/>
      <c r="X7" s="4" t="n"/>
      <c r="Y7" s="4" t="n"/>
      <c r="Z7" s="4" t="n"/>
    </row>
    <row r="8" ht="15" customHeight="1" s="22">
      <c r="A8" s="8" t="inlineStr">
        <is>
          <t>Entrega</t>
        </is>
      </c>
      <c r="B8" s="8" t="inlineStr">
        <is>
          <t>Objetivo</t>
        </is>
      </c>
      <c r="C8" s="8" t="inlineStr">
        <is>
          <t>Iteraciones</t>
        </is>
      </c>
      <c r="D8" s="8" t="inlineStr">
        <is>
          <t>Semanas y fechas</t>
        </is>
      </c>
      <c r="E8" s="8" t="inlineStr">
        <is>
          <t>Historias incluidas</t>
        </is>
      </c>
      <c r="F8" s="8" t="inlineStr">
        <is>
          <t>Puntos</t>
        </is>
      </c>
      <c r="G8" s="8" t="inlineStr">
        <is>
          <t>Demostración al cliente</t>
        </is>
      </c>
      <c r="H8" s="8" t="inlineStr">
        <is>
          <t>Hitos asociados</t>
        </is>
      </c>
      <c r="I8" s="4" t="n"/>
      <c r="J8" s="4" t="n"/>
      <c r="K8" s="4" t="n"/>
      <c r="L8" s="4" t="n"/>
      <c r="M8" s="4" t="n"/>
      <c r="N8" s="4" t="n"/>
      <c r="O8" s="4" t="n"/>
      <c r="P8" s="4" t="n"/>
      <c r="Q8" s="4" t="n"/>
      <c r="R8" s="4" t="n"/>
      <c r="S8" s="4" t="n"/>
      <c r="T8" s="4" t="n"/>
      <c r="U8" s="4" t="n"/>
      <c r="V8" s="4" t="n"/>
      <c r="W8" s="4" t="n"/>
      <c r="X8" s="4" t="n"/>
      <c r="Y8" s="4" t="n"/>
      <c r="Z8" s="4" t="n"/>
    </row>
    <row r="9" ht="120" customHeight="1" s="22">
      <c r="A9" s="10" t="inlineStr">
        <is>
          <t>Entrega 1</t>
        </is>
      </c>
      <c r="B9" s="12" t="inlineStr">
        <is>
          <t>El estudiante inicia sesión, configura su práctica y recibe una pregunta.</t>
        </is>
      </c>
      <c r="C9" s="15" t="inlineStr">
        <is>
          <t>1 a 3</t>
        </is>
      </c>
      <c r="D9" s="12" t="inlineStr">
        <is>
          <t>Semanas 5 a 7
07/09 al 26/09/2026</t>
        </is>
      </c>
      <c r="E9" s="12" t="inlineStr">
        <is>
          <t>HT-01, HU-20, HT-02, HU-21, HT-07, HU-16, HU-11, HU-01, HU-02</t>
        </is>
      </c>
      <c r="F9" s="15" t="n">
        <v>35</v>
      </c>
      <c r="G9" s="12" t="inlineStr">
        <is>
          <t>El estudiante inicia sesión en la compilación desplegada, selecciona sus pruebas y recibe una pregunta sin la alternativa correcta. Aceptada en producción el 29/09/2026 (prueba de aceptación T-24: 8 de 8 pasos aprobados).</t>
        </is>
      </c>
      <c r="H9" s="12" t="inlineStr">
        <is>
          <t>Hito 1 de la empresa: MVP con base de datos operativa (28/09 al 03/10/2026, reprogramado de común acuerdo con la jefa de proyecto para el 07/10/2026 y luego para el 14/10/2026, por la agenda de la jefa de proyecto con la empresa). Por ausencia de la jefa de proyecto entre el 13 y el 26/10/2026, el MVP se entregó a la contraparte para su testeo el 13/10/2026.</t>
        </is>
      </c>
      <c r="I9" s="4" t="n"/>
      <c r="J9" s="4" t="n"/>
      <c r="K9" s="4" t="n"/>
      <c r="L9" s="4" t="n"/>
      <c r="M9" s="4" t="n"/>
      <c r="N9" s="4" t="n"/>
      <c r="O9" s="4" t="n"/>
      <c r="P9" s="4" t="n"/>
      <c r="Q9" s="4" t="n"/>
      <c r="R9" s="4" t="n"/>
      <c r="S9" s="4" t="n"/>
      <c r="T9" s="4" t="n"/>
      <c r="U9" s="4" t="n"/>
      <c r="V9" s="4" t="n"/>
      <c r="W9" s="4" t="n"/>
      <c r="X9" s="4" t="n"/>
      <c r="Y9" s="4" t="n"/>
      <c r="Z9" s="4" t="n"/>
    </row>
    <row r="10" ht="150" customHeight="1" s="22">
      <c r="A10" s="10" t="inlineStr">
        <is>
          <t>Entrega 2</t>
        </is>
      </c>
      <c r="B10" s="12" t="inlineStr">
        <is>
          <t>El estudiante completa el ciclo de aprendizaje: responde, conoce su resultado y comprende su error.</t>
        </is>
      </c>
      <c r="C10" s="15" t="inlineStr">
        <is>
          <t>4 a 6</t>
        </is>
      </c>
      <c r="D10" s="12" t="inlineStr">
        <is>
          <t>Semanas 8 a 10
28/09 al 17/10/2026</t>
        </is>
      </c>
      <c r="E10" s="12" t="inlineStr">
        <is>
          <t>HU-12, HT-06, HT-03, HU-03, HU-04, HT-04, HU-05, HU-06</t>
        </is>
      </c>
      <c r="F10" s="15" t="n">
        <v>26</v>
      </c>
      <c r="G10" s="12" t="inlineStr">
        <is>
          <t>El estudiante responde, ve su resultado con el percentil y la medalla, y consulta la explicación y la habilidad evaluada. El registro de la respuesta, la pantalla Resultado y el percentil fueron aceptados en producción el 05/10/2026 (prueba de aceptación T-35). La explicación detallada y la configuración del formato y la dificultad fueron aceptadas el 10/10/2026 (prueba de aceptación T-39). La habilidad evaluada fue aceptada el 18/10/2026 (prueba de aceptación T-48: 21 de 26 pasos aprobados); la recuperación de la pantalla Resultado al recargar (T-43) pasa a la iteración 7.</t>
        </is>
      </c>
      <c r="H10" s="12" t="inlineStr">
        <is>
          <t>Informe de avance (semana 9, 08/10/2026), presentación de avance realizada el 15/10/2026 (semana 10) y retroalimentación (semana 11).</t>
        </is>
      </c>
      <c r="I10" s="4" t="n"/>
      <c r="J10" s="4" t="n"/>
      <c r="K10" s="4" t="n"/>
      <c r="L10" s="4" t="n"/>
      <c r="M10" s="4" t="n"/>
      <c r="N10" s="4" t="n"/>
      <c r="O10" s="4" t="n"/>
      <c r="P10" s="4" t="n"/>
      <c r="Q10" s="4" t="n"/>
      <c r="R10" s="4" t="n"/>
      <c r="S10" s="4" t="n"/>
      <c r="T10" s="4" t="n"/>
      <c r="U10" s="4" t="n"/>
      <c r="V10" s="4" t="n"/>
      <c r="W10" s="4" t="n"/>
      <c r="X10" s="4" t="n"/>
      <c r="Y10" s="4" t="n"/>
      <c r="Z10" s="4" t="n"/>
    </row>
    <row r="11" ht="78" customHeight="1" s="22">
      <c r="A11" s="10" t="inlineStr">
        <is>
          <t>Entrega 3</t>
        </is>
      </c>
      <c r="B11" s="12" t="inlineStr">
        <is>
          <t>El módulo queda completo: cuota, recorrección, progreso y práctica sin conexión, verificados con la batería de integración.</t>
        </is>
      </c>
      <c r="C11" s="15" t="inlineStr">
        <is>
          <t>7 a 10</t>
        </is>
      </c>
      <c r="D11" s="12" t="inlineStr">
        <is>
          <t>Semanas 11 a 14
19/10 al 14/11/2026</t>
        </is>
      </c>
      <c r="E11" s="12" t="inlineStr">
        <is>
          <t>HU-07, HU-08, HU-09, HU-10, HU-13, HU-14, HT-05</t>
        </is>
      </c>
      <c r="F11" s="15" t="n">
        <v>30</v>
      </c>
      <c r="G11" s="12" t="inlineStr">
        <is>
          <t>El estudiante desbloquea cuota, reporta una pregunta y practica sin conexión, y el módulo supera la batería de integración.</t>
        </is>
      </c>
      <c r="H11" s="12" t="inlineStr">
        <is>
          <t>Hito 2 de la empresa: proyecto en contenedores (26 al 31/10/2026). Presentación de la semana 13. Informe final (semana 15).</t>
        </is>
      </c>
      <c r="I11" s="4" t="n"/>
      <c r="J11" s="4" t="n"/>
      <c r="K11" s="4" t="n"/>
      <c r="L11" s="4" t="n"/>
      <c r="M11" s="4" t="n"/>
      <c r="N11" s="4" t="n"/>
      <c r="O11" s="4" t="n"/>
      <c r="P11" s="4" t="n"/>
      <c r="Q11" s="4" t="n"/>
      <c r="R11" s="4" t="n"/>
      <c r="S11" s="4" t="n"/>
      <c r="T11" s="4" t="n"/>
      <c r="U11" s="4" t="n"/>
      <c r="V11" s="4" t="n"/>
      <c r="W11" s="4" t="n"/>
      <c r="X11" s="4" t="n"/>
      <c r="Y11" s="4" t="n"/>
      <c r="Z11" s="4" t="n"/>
    </row>
    <row r="12" ht="15" customHeight="1" s="22">
      <c r="A12" s="1" t="n"/>
      <c r="B12" s="1" t="n"/>
      <c r="C12" s="1" t="n"/>
      <c r="D12" s="1" t="n"/>
      <c r="E12" s="17" t="inlineStr">
        <is>
          <t>Total</t>
        </is>
      </c>
      <c r="F12" s="10">
        <f>SUM(F9:F11)</f>
        <v/>
      </c>
      <c r="G12" s="1" t="n"/>
      <c r="H12" s="1" t="n"/>
      <c r="I12" s="4" t="n"/>
      <c r="J12" s="4" t="n"/>
      <c r="K12" s="4" t="n"/>
      <c r="L12" s="4" t="n"/>
      <c r="M12" s="4" t="n"/>
      <c r="N12" s="4" t="n"/>
      <c r="O12" s="4" t="n"/>
      <c r="P12" s="4" t="n"/>
      <c r="Q12" s="4" t="n"/>
      <c r="R12" s="4" t="n"/>
      <c r="S12" s="4" t="n"/>
      <c r="T12" s="4" t="n"/>
      <c r="U12" s="4" t="n"/>
      <c r="V12" s="4" t="n"/>
      <c r="W12" s="4" t="n"/>
      <c r="X12" s="4" t="n"/>
      <c r="Y12" s="4" t="n"/>
      <c r="Z12" s="4" t="n"/>
    </row>
    <row r="13">
      <c r="A13" s="1" t="n"/>
      <c r="B13" s="1" t="n"/>
      <c r="C13" s="1" t="n"/>
      <c r="D13" s="1" t="n"/>
      <c r="E13" s="1" t="n"/>
      <c r="F13" s="1" t="n"/>
      <c r="G13" s="1" t="n"/>
      <c r="H13" s="1" t="n"/>
      <c r="I13" s="4" t="n"/>
      <c r="J13" s="4" t="n"/>
      <c r="K13" s="4" t="n"/>
      <c r="L13" s="4" t="n"/>
      <c r="M13" s="4" t="n"/>
      <c r="N13" s="4" t="n"/>
      <c r="O13" s="4" t="n"/>
      <c r="P13" s="4" t="n"/>
      <c r="Q13" s="4" t="n"/>
      <c r="R13" s="4" t="n"/>
      <c r="S13" s="4" t="n"/>
      <c r="T13" s="4" t="n"/>
      <c r="U13" s="4" t="n"/>
      <c r="V13" s="4" t="n"/>
      <c r="W13" s="4" t="n"/>
      <c r="X13" s="4" t="n"/>
      <c r="Y13" s="4" t="n"/>
      <c r="Z13" s="4" t="n"/>
    </row>
    <row r="14">
      <c r="A14" s="1" t="n"/>
      <c r="B14" s="1" t="n"/>
      <c r="C14" s="1" t="n"/>
      <c r="D14" s="1" t="n"/>
      <c r="E14" s="1" t="n"/>
      <c r="F14" s="1" t="n"/>
      <c r="G14" s="1" t="n"/>
      <c r="H14" s="1" t="n"/>
      <c r="I14" s="4" t="n"/>
      <c r="J14" s="4" t="n"/>
      <c r="K14" s="4" t="n"/>
      <c r="L14" s="4" t="n"/>
      <c r="M14" s="4" t="n"/>
      <c r="N14" s="4" t="n"/>
      <c r="O14" s="4" t="n"/>
      <c r="P14" s="4" t="n"/>
      <c r="Q14" s="4" t="n"/>
      <c r="R14" s="4" t="n"/>
      <c r="S14" s="4" t="n"/>
      <c r="T14" s="4" t="n"/>
      <c r="U14" s="4" t="n"/>
      <c r="V14" s="4" t="n"/>
      <c r="W14" s="4" t="n"/>
      <c r="X14" s="4" t="n"/>
      <c r="Y14" s="4" t="n"/>
      <c r="Z14" s="4" t="n"/>
    </row>
    <row r="15" ht="21.75" customHeight="1" s="22">
      <c r="A15" s="6" t="n"/>
      <c r="I15" s="4" t="n"/>
      <c r="J15" s="4" t="n"/>
      <c r="K15" s="4" t="n"/>
      <c r="L15" s="4" t="n"/>
      <c r="M15" s="4" t="n"/>
      <c r="N15" s="4" t="n"/>
      <c r="O15" s="4" t="n"/>
      <c r="P15" s="4" t="n"/>
      <c r="Q15" s="4" t="n"/>
      <c r="R15" s="4" t="n"/>
      <c r="S15" s="4" t="n"/>
      <c r="T15" s="4" t="n"/>
      <c r="U15" s="4" t="n"/>
      <c r="V15" s="4" t="n"/>
      <c r="W15" s="4" t="n"/>
      <c r="X15" s="4" t="n"/>
      <c r="Y15" s="4" t="n"/>
      <c r="Z15" s="4" t="n"/>
    </row>
    <row r="16" ht="15" customHeight="1" s="22">
      <c r="I16" s="4" t="n"/>
      <c r="J16" s="4" t="n"/>
      <c r="K16" s="4" t="n"/>
      <c r="L16" s="4" t="n"/>
      <c r="M16" s="4" t="n"/>
      <c r="N16" s="4" t="n"/>
      <c r="O16" s="4" t="n"/>
      <c r="P16" s="4" t="n"/>
      <c r="Q16" s="4" t="n"/>
      <c r="R16" s="4" t="n"/>
      <c r="S16" s="4" t="n"/>
      <c r="T16" s="4" t="n"/>
      <c r="U16" s="4" t="n"/>
      <c r="V16" s="4" t="n"/>
      <c r="W16" s="4" t="n"/>
      <c r="X16" s="4" t="n"/>
      <c r="Y16" s="4" t="n"/>
      <c r="Z16" s="4" t="n"/>
    </row>
    <row r="17">
      <c r="A17" s="1" t="n"/>
      <c r="B17" s="1" t="n"/>
      <c r="C17" s="1" t="n"/>
      <c r="D17" s="1" t="n"/>
      <c r="E17" s="1" t="n"/>
      <c r="F17" s="1" t="n"/>
      <c r="G17" s="1" t="n"/>
      <c r="H17" s="1" t="n"/>
      <c r="I17" s="4" t="n"/>
      <c r="J17" s="4" t="n"/>
      <c r="K17" s="4" t="n"/>
      <c r="L17" s="4" t="n"/>
      <c r="M17" s="4" t="n"/>
      <c r="N17" s="4" t="n"/>
      <c r="O17" s="4" t="n"/>
      <c r="P17" s="4" t="n"/>
      <c r="Q17" s="4" t="n"/>
      <c r="R17" s="4" t="n"/>
      <c r="S17" s="4" t="n"/>
      <c r="T17" s="4" t="n"/>
      <c r="U17" s="4" t="n"/>
      <c r="V17" s="4" t="n"/>
      <c r="W17" s="4" t="n"/>
      <c r="X17" s="4" t="n"/>
      <c r="Y17" s="4" t="n"/>
      <c r="Z17" s="4" t="n"/>
    </row>
    <row r="18" ht="15" customHeight="1" s="22">
      <c r="A18" s="16" t="inlineStr">
        <is>
          <t>Control de versiones</t>
        </is>
      </c>
      <c r="B18" s="1" t="n"/>
      <c r="C18" s="1" t="n"/>
      <c r="D18" s="1" t="n"/>
      <c r="E18" s="1" t="n"/>
      <c r="F18" s="1" t="n"/>
      <c r="G18" s="1" t="n"/>
      <c r="H18" s="1" t="n"/>
      <c r="I18" s="4" t="n"/>
      <c r="J18" s="4" t="n"/>
      <c r="K18" s="4" t="n"/>
      <c r="L18" s="4" t="n"/>
      <c r="M18" s="4" t="n"/>
      <c r="N18" s="4" t="n"/>
      <c r="O18" s="4" t="n"/>
      <c r="P18" s="4" t="n"/>
      <c r="Q18" s="4" t="n"/>
      <c r="R18" s="4" t="n"/>
      <c r="S18" s="4" t="n"/>
      <c r="T18" s="4" t="n"/>
      <c r="U18" s="4" t="n"/>
      <c r="V18" s="4" t="n"/>
      <c r="W18" s="4" t="n"/>
      <c r="X18" s="4" t="n"/>
      <c r="Y18" s="4" t="n"/>
      <c r="Z18" s="4" t="n"/>
    </row>
    <row r="19" ht="15" customHeight="1" s="22">
      <c r="A19" s="8" t="inlineStr">
        <is>
          <t>Versión</t>
        </is>
      </c>
      <c r="B19" s="8" t="inlineStr">
        <is>
          <t>Fecha</t>
        </is>
      </c>
      <c r="C19" s="8" t="inlineStr">
        <is>
          <t>Descripción del cambio</t>
        </is>
      </c>
      <c r="D19" s="23" t="n"/>
      <c r="E19" s="23" t="n"/>
      <c r="F19" s="23" t="n"/>
      <c r="G19" s="23" t="n"/>
      <c r="H19" s="24" t="n"/>
      <c r="I19" s="4" t="n"/>
      <c r="J19" s="4" t="n"/>
      <c r="K19" s="4" t="n"/>
      <c r="L19" s="4" t="n"/>
      <c r="M19" s="4" t="n"/>
      <c r="N19" s="4" t="n"/>
      <c r="O19" s="4" t="n"/>
      <c r="P19" s="4" t="n"/>
      <c r="Q19" s="4" t="n"/>
      <c r="R19" s="4" t="n"/>
      <c r="S19" s="4" t="n"/>
      <c r="T19" s="4" t="n"/>
      <c r="U19" s="4" t="n"/>
      <c r="V19" s="4" t="n"/>
      <c r="W19" s="4" t="n"/>
      <c r="X19" s="4" t="n"/>
      <c r="Y19" s="4" t="n"/>
      <c r="Z19" s="4" t="n"/>
    </row>
    <row r="20" ht="60" customHeight="1" s="22">
      <c r="A20" s="15" t="inlineStr">
        <is>
          <t>1.0</t>
        </is>
      </c>
      <c r="B20" s="15" t="inlineStr">
        <is>
          <t>25/09/2026</t>
        </is>
      </c>
      <c r="C20" s="12" t="inlineStr">
        <is>
          <t>Versión inicial del plan de entregas y de los planes de las iteraciones 1 a 3.</t>
        </is>
      </c>
      <c r="D20" s="23" t="n"/>
      <c r="E20" s="23" t="n"/>
      <c r="F20" s="23" t="n"/>
      <c r="G20" s="23" t="n"/>
      <c r="H20" s="24" t="n"/>
      <c r="I20" s="4" t="n"/>
      <c r="J20" s="4" t="n"/>
      <c r="K20" s="4" t="n"/>
      <c r="L20" s="4" t="n"/>
      <c r="M20" s="4" t="n"/>
      <c r="N20" s="4" t="n"/>
      <c r="O20" s="4" t="n"/>
      <c r="P20" s="4" t="n"/>
      <c r="Q20" s="4" t="n"/>
      <c r="R20" s="4" t="n"/>
      <c r="S20" s="4" t="n"/>
      <c r="T20" s="4" t="n"/>
      <c r="U20" s="4" t="n"/>
      <c r="V20" s="4" t="n"/>
      <c r="W20" s="4" t="n"/>
      <c r="X20" s="4" t="n"/>
      <c r="Y20" s="4" t="n"/>
      <c r="Z20" s="4" t="n"/>
    </row>
    <row r="21" ht="60" customHeight="1" s="22">
      <c r="A21" s="15" t="inlineStr">
        <is>
          <t>1.1</t>
        </is>
      </c>
      <c r="B21" s="15" t="inlineStr">
        <is>
          <t>26/09/2026</t>
        </is>
      </c>
      <c r="C21" s="12" t="inlineStr">
        <is>
          <t>HU-11 y HU-12 pasan al programador backend y el encargado de pruebas asume las pruebas de aceptación de la entrega funcional 1. La tarea T-10 queda en curso hasta integrar la alineación del modelo con la consola de administración.</t>
        </is>
      </c>
      <c r="D21" s="23" t="n"/>
      <c r="E21" s="23" t="n"/>
      <c r="F21" s="23" t="n"/>
      <c r="G21" s="23" t="n"/>
      <c r="H21" s="24" t="n"/>
      <c r="I21" s="4" t="n"/>
      <c r="J21" s="4" t="n"/>
      <c r="K21" s="4" t="n"/>
      <c r="L21" s="4" t="n"/>
      <c r="M21" s="4" t="n"/>
      <c r="N21" s="4" t="n"/>
      <c r="O21" s="4" t="n"/>
      <c r="P21" s="4" t="n"/>
      <c r="Q21" s="4" t="n"/>
      <c r="R21" s="4" t="n"/>
      <c r="S21" s="4" t="n"/>
      <c r="T21" s="4" t="n"/>
      <c r="U21" s="4" t="n"/>
      <c r="V21" s="4" t="n"/>
      <c r="W21" s="4" t="n"/>
      <c r="X21" s="4" t="n"/>
      <c r="Y21" s="4" t="n"/>
      <c r="Z21" s="4" t="n"/>
    </row>
    <row r="22" ht="60" customHeight="1" s="22">
      <c r="A22" s="15" t="inlineStr">
        <is>
          <t>1.2</t>
        </is>
      </c>
      <c r="B22" s="15" t="inlineStr">
        <is>
          <t>29/09/2026</t>
        </is>
      </c>
      <c r="C22" s="12" t="inlineStr">
        <is>
          <t>Cierre de la iteración 3 y aceptación de la entrega funcional 1. Se adopta el nombre de Extreme Programming, planes de iteración, con su equivalencia con el Sprint Backlog de Scrum. HT-01 se divide y la verificación del entorno pasa a HT-06 en la iteración 4; se registra HT-07 como trabajo no planificado; HU-12 pasa a la iteración 4.</t>
        </is>
      </c>
      <c r="D22" s="23" t="n"/>
      <c r="E22" s="23" t="n"/>
      <c r="F22" s="23" t="n"/>
      <c r="G22" s="23" t="n"/>
      <c r="H22" s="24" t="n"/>
      <c r="I22" s="4" t="n"/>
      <c r="J22" s="4" t="n"/>
      <c r="K22" s="4" t="n"/>
      <c r="L22" s="4" t="n"/>
      <c r="M22" s="4" t="n"/>
      <c r="N22" s="4" t="n"/>
      <c r="O22" s="4" t="n"/>
      <c r="P22" s="4" t="n"/>
      <c r="Q22" s="4" t="n"/>
      <c r="R22" s="4" t="n"/>
      <c r="S22" s="4" t="n"/>
      <c r="T22" s="4" t="n"/>
      <c r="U22" s="4" t="n"/>
      <c r="V22" s="4" t="n"/>
      <c r="W22" s="4" t="n"/>
      <c r="X22" s="4" t="n"/>
      <c r="Y22" s="4" t="n"/>
      <c r="Z22" s="4" t="n"/>
    </row>
    <row r="23" ht="60" customHeight="1" s="22">
      <c r="A23" s="15" t="inlineStr">
        <is>
          <t>1.3</t>
        </is>
      </c>
      <c r="B23" s="15" t="inlineStr">
        <is>
          <t>29/09/2026</t>
        </is>
      </c>
      <c r="C23" s="12" t="inlineStr">
        <is>
          <t>Se agrega la propuesta de plan de la iteración 4 para el juego de planificación: 18 puntos frente a una velocidad de 26, con Docker adelantado desde la iteración 7.</t>
        </is>
      </c>
      <c r="D23" s="23" t="n"/>
      <c r="E23" s="23" t="n"/>
      <c r="F23" s="23" t="n"/>
      <c r="G23" s="23" t="n"/>
      <c r="H23" s="24" t="n"/>
      <c r="I23" s="4" t="n"/>
      <c r="J23" s="4" t="n"/>
      <c r="K23" s="4" t="n"/>
      <c r="L23" s="4" t="n"/>
      <c r="M23" s="4" t="n"/>
      <c r="N23" s="4" t="n"/>
      <c r="O23" s="4" t="n"/>
      <c r="P23" s="4" t="n"/>
      <c r="Q23" s="4" t="n"/>
      <c r="R23" s="4" t="n"/>
      <c r="S23" s="4" t="n"/>
      <c r="T23" s="4" t="n"/>
      <c r="U23" s="4" t="n"/>
      <c r="V23" s="4" t="n"/>
      <c r="W23" s="4" t="n"/>
      <c r="X23" s="4" t="n"/>
      <c r="Y23" s="4" t="n"/>
      <c r="Z23" s="4" t="n"/>
    </row>
    <row r="24" ht="60" customHeight="1" s="22">
      <c r="A24" s="15" t="inlineStr">
        <is>
          <t>1.4</t>
        </is>
      </c>
      <c r="B24" s="15" t="inlineStr">
        <is>
          <t>01/10/2026</t>
        </is>
      </c>
      <c r="C24" s="12" t="inlineStr">
        <is>
          <t>Conciliación con la revisión del código: T-20 pasa de hecha a pendiente y se traslada a la iteración 4. La propuesta de la iteración 4 suma T-20, T-37 y T-38.</t>
        </is>
      </c>
      <c r="D24" s="23" t="n"/>
      <c r="E24" s="23" t="n"/>
      <c r="F24" s="23" t="n"/>
      <c r="G24" s="23" t="n"/>
      <c r="H24" s="24" t="n"/>
      <c r="I24" s="4" t="n"/>
      <c r="J24" s="4" t="n"/>
      <c r="K24" s="4" t="n"/>
      <c r="L24" s="4" t="n"/>
      <c r="M24" s="4" t="n"/>
      <c r="N24" s="4" t="n"/>
      <c r="O24" s="4" t="n"/>
      <c r="P24" s="4" t="n"/>
      <c r="Q24" s="4" t="n"/>
      <c r="R24" s="4" t="n"/>
      <c r="S24" s="4" t="n"/>
      <c r="T24" s="4" t="n"/>
      <c r="U24" s="4" t="n"/>
      <c r="V24" s="4" t="n"/>
      <c r="W24" s="4" t="n"/>
      <c r="X24" s="4" t="n"/>
      <c r="Y24" s="4" t="n"/>
      <c r="Z24" s="4" t="n"/>
    </row>
    <row r="25" ht="60" customHeight="1" s="22">
      <c r="A25" s="15" t="inlineStr">
        <is>
          <t>1.5</t>
        </is>
      </c>
      <c r="B25" s="15" t="inlineStr">
        <is>
          <t>06/10/2026</t>
        </is>
      </c>
      <c r="C25" s="12" t="inlineStr">
        <is>
          <t>Cierre de la iteración 4: 11 de 18 puntos comprometidos, con la aceptación T-35 del 05/10/2026 (9 de 11 pasos aprobados). HU-12, HT-06 y HT-03 pasan a la iteración 5. El hito 1 de la empresa se reprograma para el 07/10/2026 y luego para el 14/10/2026.</t>
        </is>
      </c>
      <c r="D25" s="23" t="n"/>
      <c r="E25" s="23" t="n"/>
      <c r="F25" s="23" t="n"/>
      <c r="G25" s="23" t="n"/>
      <c r="H25" s="24" t="n"/>
      <c r="I25" s="4" t="n"/>
      <c r="J25" s="4" t="n"/>
      <c r="K25" s="4" t="n"/>
      <c r="L25" s="4" t="n"/>
      <c r="M25" s="4" t="n"/>
      <c r="N25" s="4" t="n"/>
      <c r="O25" s="4" t="n"/>
      <c r="P25" s="4" t="n"/>
      <c r="Q25" s="4" t="n"/>
      <c r="R25" s="4" t="n"/>
      <c r="S25" s="4" t="n"/>
      <c r="T25" s="4" t="n"/>
      <c r="U25" s="4" t="n"/>
      <c r="V25" s="4" t="n"/>
      <c r="W25" s="4" t="n"/>
      <c r="X25" s="4" t="n"/>
      <c r="Y25" s="4" t="n"/>
      <c r="Z25" s="4" t="n"/>
    </row>
    <row r="26" ht="60" customHeight="1" s="22">
      <c r="A26" s="15" t="inlineStr">
        <is>
          <t>1.6</t>
        </is>
      </c>
      <c r="B26" s="15" t="inlineStr">
        <is>
          <t>10/10/2026</t>
        </is>
      </c>
      <c r="C26" s="12" t="inlineStr">
        <is>
          <t>Cierre de la iteración 5: 10 de 10 puntos comprometidos, con la aceptación T-39 del 10/10/2026 (14 de 16 pasos aprobados, sin fallas). Se agrega el plan de la iteración 5, con las tareas T-40 y T-41 de la explicación detallada. Se registra la aceptación T-39 en la entrega 2.</t>
        </is>
      </c>
      <c r="D26" s="23" t="n"/>
      <c r="E26" s="23" t="n"/>
      <c r="F26" s="23" t="n"/>
      <c r="G26" s="23" t="n"/>
      <c r="H26" s="24" t="n"/>
      <c r="I26" s="4" t="n"/>
      <c r="J26" s="4" t="n"/>
      <c r="K26" s="4" t="n"/>
      <c r="L26" s="4" t="n"/>
      <c r="M26" s="4" t="n"/>
      <c r="N26" s="4" t="n"/>
      <c r="O26" s="4" t="n"/>
      <c r="P26" s="4" t="n"/>
      <c r="Q26" s="4" t="n"/>
      <c r="R26" s="4" t="n"/>
      <c r="S26" s="4" t="n"/>
      <c r="T26" s="4" t="n"/>
      <c r="U26" s="4" t="n"/>
      <c r="V26" s="4" t="n"/>
      <c r="W26" s="4" t="n"/>
      <c r="X26" s="4" t="n"/>
      <c r="Y26" s="4" t="n"/>
      <c r="Z26" s="4" t="n"/>
    </row>
    <row r="27" ht="60" customHeight="1" s="22">
      <c r="A27" s="15" t="inlineStr">
        <is>
          <t>1.7</t>
        </is>
      </c>
      <c r="B27" s="15" t="inlineStr">
        <is>
          <t>15/10/2026</t>
        </is>
      </c>
      <c r="C27" s="12" t="inlineStr">
        <is>
          <t>Avance de la iteración 6, en curso: se agrega su plan, con la historia HU-06 y las tareas T-42 a T-51. HT-03, terminada en la iteración 5, pasa de la entrega 3 a la entrega 2, que queda con 26 puntos, y la entrega 3 con 30; el total se mantiene en 91. Se registra la entrega del MVP a la contraparte para su testeo el 13/10/2026.</t>
        </is>
      </c>
      <c r="D27" s="23" t="n"/>
      <c r="E27" s="23" t="n"/>
      <c r="F27" s="23" t="n"/>
      <c r="G27" s="23" t="n"/>
      <c r="H27" s="24" t="n"/>
      <c r="I27" s="4" t="n"/>
      <c r="J27" s="4" t="n"/>
      <c r="K27" s="4" t="n"/>
      <c r="L27" s="4" t="n"/>
      <c r="M27" s="4" t="n"/>
      <c r="N27" s="4" t="n"/>
      <c r="O27" s="4" t="n"/>
      <c r="P27" s="4" t="n"/>
      <c r="Q27" s="4" t="n"/>
      <c r="R27" s="4" t="n"/>
      <c r="S27" s="4" t="n"/>
      <c r="T27" s="4" t="n"/>
      <c r="U27" s="4" t="n"/>
      <c r="V27" s="4" t="n"/>
      <c r="W27" s="4" t="n"/>
      <c r="X27" s="4" t="n"/>
      <c r="Y27" s="4" t="n"/>
      <c r="Z27" s="4" t="n"/>
    </row>
    <row r="28" ht="60" customHeight="1" s="22">
      <c r="A28" s="15" t="inlineStr">
        <is>
          <t>1.8</t>
        </is>
      </c>
      <c r="B28" s="15" t="inlineStr">
        <is>
          <t>18/10/2026</t>
        </is>
      </c>
      <c r="C28" s="12" t="inlineStr">
        <is>
          <t>Cierre de la iteración 6: 5 de 5 puntos comprometidos, con la aceptación T-48 del 18/10/2026 (21 de 26 pasos aprobados, una falla y dos observaciones). Se registran como trabajo no planificado T-53 a T-55. T-43 no se acepta y pasa a la iteración 7, junto con las tareas de los hallazgos T-56 a T-59. La entrega 2 queda aceptada, con T-43 pendiente.</t>
        </is>
      </c>
      <c r="D28" s="23" t="n"/>
      <c r="E28" s="23" t="n"/>
      <c r="F28" s="23" t="n"/>
      <c r="G28" s="23" t="n"/>
      <c r="H28" s="24" t="n"/>
      <c r="I28" s="4" t="n"/>
      <c r="J28" s="4" t="n"/>
      <c r="K28" s="4" t="n"/>
      <c r="L28" s="4" t="n"/>
      <c r="M28" s="4" t="n"/>
      <c r="N28" s="4" t="n"/>
      <c r="O28" s="4" t="n"/>
      <c r="P28" s="4" t="n"/>
      <c r="Q28" s="4" t="n"/>
      <c r="R28" s="4" t="n"/>
      <c r="S28" s="4" t="n"/>
      <c r="T28" s="4" t="n"/>
      <c r="U28" s="4" t="n"/>
      <c r="V28" s="4" t="n"/>
      <c r="W28" s="4" t="n"/>
      <c r="X28" s="4" t="n"/>
      <c r="Y28" s="4" t="n"/>
      <c r="Z28" s="4" t="n"/>
    </row>
    <row r="29" ht="15.75" customHeight="1" s="22">
      <c r="A29" s="1" t="n"/>
      <c r="B29" s="1" t="n"/>
      <c r="C29" s="1" t="n"/>
      <c r="D29" s="1" t="n"/>
      <c r="E29" s="1" t="n"/>
      <c r="F29" s="1" t="n"/>
      <c r="G29" s="1" t="n"/>
      <c r="H29" s="1" t="n"/>
      <c r="I29" s="4" t="n"/>
      <c r="J29" s="4" t="n"/>
      <c r="K29" s="4" t="n"/>
      <c r="L29" s="4" t="n"/>
      <c r="M29" s="4" t="n"/>
      <c r="N29" s="4" t="n"/>
      <c r="O29" s="4" t="n"/>
      <c r="P29" s="4" t="n"/>
      <c r="Q29" s="4" t="n"/>
      <c r="R29" s="4" t="n"/>
      <c r="S29" s="4" t="n"/>
      <c r="T29" s="4" t="n"/>
      <c r="U29" s="4" t="n"/>
      <c r="V29" s="4" t="n"/>
      <c r="W29" s="4" t="n"/>
      <c r="X29" s="4" t="n"/>
      <c r="Y29" s="4" t="n"/>
      <c r="Z29" s="4" t="n"/>
    </row>
    <row r="30" ht="15.75" customHeight="1" s="22">
      <c r="A30" s="1" t="n"/>
      <c r="B30" s="1" t="n"/>
      <c r="C30" s="1" t="n"/>
      <c r="D30" s="1" t="n"/>
      <c r="E30" s="1" t="n"/>
      <c r="F30" s="1" t="n"/>
      <c r="G30" s="1" t="n"/>
      <c r="H30" s="1" t="n"/>
      <c r="I30" s="4" t="n"/>
      <c r="J30" s="4" t="n"/>
      <c r="K30" s="4" t="n"/>
      <c r="L30" s="4" t="n"/>
      <c r="M30" s="4" t="n"/>
      <c r="N30" s="4" t="n"/>
      <c r="O30" s="4" t="n"/>
      <c r="P30" s="4" t="n"/>
      <c r="Q30" s="4" t="n"/>
      <c r="R30" s="4" t="n"/>
      <c r="S30" s="4" t="n"/>
      <c r="T30" s="4" t="n"/>
      <c r="U30" s="4" t="n"/>
      <c r="V30" s="4" t="n"/>
      <c r="W30" s="4" t="n"/>
      <c r="X30" s="4" t="n"/>
      <c r="Y30" s="4" t="n"/>
      <c r="Z30" s="4" t="n"/>
    </row>
    <row r="31" ht="15.75" customHeight="1" s="22">
      <c r="A31" s="1" t="n"/>
      <c r="B31" s="1" t="n"/>
      <c r="C31" s="1" t="n"/>
      <c r="D31" s="1" t="n"/>
      <c r="E31" s="1" t="n"/>
      <c r="F31" s="1" t="n"/>
      <c r="G31" s="1" t="n"/>
      <c r="H31" s="1" t="n"/>
      <c r="I31" s="4" t="n"/>
      <c r="J31" s="4" t="n"/>
      <c r="K31" s="4" t="n"/>
      <c r="L31" s="4" t="n"/>
      <c r="M31" s="4" t="n"/>
      <c r="N31" s="4" t="n"/>
      <c r="O31" s="4" t="n"/>
      <c r="P31" s="4" t="n"/>
      <c r="Q31" s="4" t="n"/>
      <c r="R31" s="4" t="n"/>
      <c r="S31" s="4" t="n"/>
      <c r="T31" s="4" t="n"/>
      <c r="U31" s="4" t="n"/>
      <c r="V31" s="4" t="n"/>
      <c r="W31" s="4" t="n"/>
      <c r="X31" s="4" t="n"/>
      <c r="Y31" s="4" t="n"/>
      <c r="Z31" s="4" t="n"/>
    </row>
    <row r="32" ht="15.75" customHeight="1" s="22">
      <c r="A32" s="1" t="n"/>
      <c r="B32" s="1" t="n"/>
      <c r="C32" s="1" t="n"/>
      <c r="D32" s="1" t="n"/>
      <c r="E32" s="1" t="n"/>
      <c r="F32" s="1" t="n"/>
      <c r="G32" s="1" t="n"/>
      <c r="H32" s="1" t="n"/>
      <c r="I32" s="4" t="n"/>
      <c r="J32" s="4" t="n"/>
      <c r="K32" s="4" t="n"/>
      <c r="L32" s="4" t="n"/>
      <c r="M32" s="4" t="n"/>
      <c r="N32" s="4" t="n"/>
      <c r="O32" s="4" t="n"/>
      <c r="P32" s="4" t="n"/>
      <c r="Q32" s="4" t="n"/>
      <c r="R32" s="4" t="n"/>
      <c r="S32" s="4" t="n"/>
      <c r="T32" s="4" t="n"/>
      <c r="U32" s="4" t="n"/>
      <c r="V32" s="4" t="n"/>
      <c r="W32" s="4" t="n"/>
      <c r="X32" s="4" t="n"/>
      <c r="Y32" s="4" t="n"/>
      <c r="Z32" s="4" t="n"/>
    </row>
    <row r="33" ht="15.75" customHeight="1" s="22">
      <c r="A33" s="1" t="n"/>
      <c r="B33" s="1" t="n"/>
      <c r="C33" s="1" t="n"/>
      <c r="D33" s="1" t="n"/>
      <c r="E33" s="1" t="n"/>
      <c r="F33" s="1" t="n"/>
      <c r="G33" s="1" t="n"/>
      <c r="H33" s="1" t="n"/>
      <c r="I33" s="4" t="n"/>
      <c r="J33" s="4" t="n"/>
      <c r="K33" s="4" t="n"/>
      <c r="L33" s="4" t="n"/>
      <c r="M33" s="4" t="n"/>
      <c r="N33" s="4" t="n"/>
      <c r="O33" s="4" t="n"/>
      <c r="P33" s="4" t="n"/>
      <c r="Q33" s="4" t="n"/>
      <c r="R33" s="4" t="n"/>
      <c r="S33" s="4" t="n"/>
      <c r="T33" s="4" t="n"/>
      <c r="U33" s="4" t="n"/>
      <c r="V33" s="4" t="n"/>
      <c r="W33" s="4" t="n"/>
      <c r="X33" s="4" t="n"/>
      <c r="Y33" s="4" t="n"/>
      <c r="Z33" s="4" t="n"/>
    </row>
    <row r="34" ht="15.75" customHeight="1" s="22">
      <c r="A34" s="1" t="n"/>
      <c r="B34" s="1" t="n"/>
      <c r="C34" s="1" t="n"/>
      <c r="D34" s="1" t="n"/>
      <c r="E34" s="1" t="n"/>
      <c r="F34" s="1" t="n"/>
      <c r="G34" s="1" t="n"/>
      <c r="H34" s="1" t="n"/>
      <c r="I34" s="4" t="n"/>
      <c r="J34" s="4" t="n"/>
      <c r="K34" s="4" t="n"/>
      <c r="L34" s="4" t="n"/>
      <c r="M34" s="4" t="n"/>
      <c r="N34" s="4" t="n"/>
      <c r="O34" s="4" t="n"/>
      <c r="P34" s="4" t="n"/>
      <c r="Q34" s="4" t="n"/>
      <c r="R34" s="4" t="n"/>
      <c r="S34" s="4" t="n"/>
      <c r="T34" s="4" t="n"/>
      <c r="U34" s="4" t="n"/>
      <c r="V34" s="4" t="n"/>
      <c r="W34" s="4" t="n"/>
      <c r="X34" s="4" t="n"/>
      <c r="Y34" s="4" t="n"/>
      <c r="Z34" s="4" t="n"/>
    </row>
    <row r="35" ht="15.75" customHeight="1" s="22">
      <c r="A35" s="1" t="n"/>
      <c r="B35" s="1" t="n"/>
      <c r="C35" s="1" t="n"/>
      <c r="D35" s="1" t="n"/>
      <c r="E35" s="1" t="n"/>
      <c r="F35" s="1" t="n"/>
      <c r="G35" s="1" t="n"/>
      <c r="H35" s="1" t="n"/>
      <c r="I35" s="4" t="n"/>
      <c r="J35" s="4" t="n"/>
      <c r="K35" s="4" t="n"/>
      <c r="L35" s="4" t="n"/>
      <c r="M35" s="4" t="n"/>
      <c r="N35" s="4" t="n"/>
      <c r="O35" s="4" t="n"/>
      <c r="P35" s="4" t="n"/>
      <c r="Q35" s="4" t="n"/>
      <c r="R35" s="4" t="n"/>
      <c r="S35" s="4" t="n"/>
      <c r="T35" s="4" t="n"/>
      <c r="U35" s="4" t="n"/>
      <c r="V35" s="4" t="n"/>
      <c r="W35" s="4" t="n"/>
      <c r="X35" s="4" t="n"/>
      <c r="Y35" s="4" t="n"/>
      <c r="Z35" s="4" t="n"/>
    </row>
    <row r="36" ht="15.75" customHeight="1" s="22">
      <c r="A36" s="1" t="n"/>
      <c r="B36" s="1" t="n"/>
      <c r="C36" s="1" t="n"/>
      <c r="D36" s="1" t="n"/>
      <c r="E36" s="1" t="n"/>
      <c r="F36" s="1" t="n"/>
      <c r="G36" s="1" t="n"/>
      <c r="H36" s="1" t="n"/>
      <c r="I36" s="4" t="n"/>
      <c r="J36" s="4" t="n"/>
      <c r="K36" s="4" t="n"/>
      <c r="L36" s="4" t="n"/>
      <c r="M36" s="4" t="n"/>
      <c r="N36" s="4" t="n"/>
      <c r="O36" s="4" t="n"/>
      <c r="P36" s="4" t="n"/>
      <c r="Q36" s="4" t="n"/>
      <c r="R36" s="4" t="n"/>
      <c r="S36" s="4" t="n"/>
      <c r="T36" s="4" t="n"/>
      <c r="U36" s="4" t="n"/>
      <c r="V36" s="4" t="n"/>
      <c r="W36" s="4" t="n"/>
      <c r="X36" s="4" t="n"/>
      <c r="Y36" s="4" t="n"/>
      <c r="Z36" s="4" t="n"/>
    </row>
    <row r="37" ht="15.75" customHeight="1" s="22">
      <c r="A37" s="1" t="n"/>
      <c r="B37" s="1" t="n"/>
      <c r="C37" s="1" t="n"/>
      <c r="D37" s="1" t="n"/>
      <c r="E37" s="1" t="n"/>
      <c r="F37" s="1" t="n"/>
      <c r="G37" s="1" t="n"/>
      <c r="H37" s="1" t="n"/>
      <c r="I37" s="4" t="n"/>
      <c r="J37" s="4" t="n"/>
      <c r="K37" s="4" t="n"/>
      <c r="L37" s="4" t="n"/>
      <c r="M37" s="4" t="n"/>
      <c r="N37" s="4" t="n"/>
      <c r="O37" s="4" t="n"/>
      <c r="P37" s="4" t="n"/>
      <c r="Q37" s="4" t="n"/>
      <c r="R37" s="4" t="n"/>
      <c r="S37" s="4" t="n"/>
      <c r="T37" s="4" t="n"/>
      <c r="U37" s="4" t="n"/>
      <c r="V37" s="4" t="n"/>
      <c r="W37" s="4" t="n"/>
      <c r="X37" s="4" t="n"/>
      <c r="Y37" s="4" t="n"/>
      <c r="Z37" s="4" t="n"/>
    </row>
    <row r="38" ht="15.75" customHeight="1" s="22">
      <c r="A38" s="1" t="n"/>
      <c r="B38" s="1" t="n"/>
      <c r="C38" s="1" t="n"/>
      <c r="D38" s="1" t="n"/>
      <c r="E38" s="1" t="n"/>
      <c r="F38" s="1" t="n"/>
      <c r="G38" s="1" t="n"/>
      <c r="H38" s="1" t="n"/>
      <c r="I38" s="4" t="n"/>
      <c r="J38" s="4" t="n"/>
      <c r="K38" s="4" t="n"/>
      <c r="L38" s="4" t="n"/>
      <c r="M38" s="4" t="n"/>
      <c r="N38" s="4" t="n"/>
      <c r="O38" s="4" t="n"/>
      <c r="P38" s="4" t="n"/>
      <c r="Q38" s="4" t="n"/>
      <c r="R38" s="4" t="n"/>
      <c r="S38" s="4" t="n"/>
      <c r="T38" s="4" t="n"/>
      <c r="U38" s="4" t="n"/>
      <c r="V38" s="4" t="n"/>
      <c r="W38" s="4" t="n"/>
      <c r="X38" s="4" t="n"/>
      <c r="Y38" s="4" t="n"/>
      <c r="Z38" s="4" t="n"/>
    </row>
    <row r="39" ht="15.75" customHeight="1" s="22">
      <c r="A39" s="1" t="n"/>
      <c r="B39" s="1" t="n"/>
      <c r="C39" s="1" t="n"/>
      <c r="D39" s="1" t="n"/>
      <c r="E39" s="1" t="n"/>
      <c r="F39" s="1" t="n"/>
      <c r="G39" s="1" t="n"/>
      <c r="H39" s="1" t="n"/>
      <c r="I39" s="4" t="n"/>
      <c r="J39" s="4" t="n"/>
      <c r="K39" s="4" t="n"/>
      <c r="L39" s="4" t="n"/>
      <c r="M39" s="4" t="n"/>
      <c r="N39" s="4" t="n"/>
      <c r="O39" s="4" t="n"/>
      <c r="P39" s="4" t="n"/>
      <c r="Q39" s="4" t="n"/>
      <c r="R39" s="4" t="n"/>
      <c r="S39" s="4" t="n"/>
      <c r="T39" s="4" t="n"/>
      <c r="U39" s="4" t="n"/>
      <c r="V39" s="4" t="n"/>
      <c r="W39" s="4" t="n"/>
      <c r="X39" s="4" t="n"/>
      <c r="Y39" s="4" t="n"/>
      <c r="Z39" s="4" t="n"/>
    </row>
    <row r="40" ht="15.75" customHeight="1" s="22">
      <c r="A40" s="1" t="n"/>
      <c r="B40" s="1" t="n"/>
      <c r="C40" s="1" t="n"/>
      <c r="D40" s="1" t="n"/>
      <c r="E40" s="1" t="n"/>
      <c r="F40" s="1" t="n"/>
      <c r="G40" s="1" t="n"/>
      <c r="H40" s="1" t="n"/>
      <c r="I40" s="4" t="n"/>
      <c r="J40" s="4" t="n"/>
      <c r="K40" s="4" t="n"/>
      <c r="L40" s="4" t="n"/>
      <c r="M40" s="4" t="n"/>
      <c r="N40" s="4" t="n"/>
      <c r="O40" s="4" t="n"/>
      <c r="P40" s="4" t="n"/>
      <c r="Q40" s="4" t="n"/>
      <c r="R40" s="4" t="n"/>
      <c r="S40" s="4" t="n"/>
      <c r="T40" s="4" t="n"/>
      <c r="U40" s="4" t="n"/>
      <c r="V40" s="4" t="n"/>
      <c r="W40" s="4" t="n"/>
      <c r="X40" s="4" t="n"/>
      <c r="Y40" s="4" t="n"/>
      <c r="Z40" s="4" t="n"/>
    </row>
    <row r="41" ht="15.75" customHeight="1" s="22">
      <c r="A41" s="1" t="n"/>
      <c r="B41" s="1" t="n"/>
      <c r="C41" s="1" t="n"/>
      <c r="D41" s="1" t="n"/>
      <c r="E41" s="1" t="n"/>
      <c r="F41" s="1" t="n"/>
      <c r="G41" s="1" t="n"/>
      <c r="H41" s="1" t="n"/>
      <c r="I41" s="4" t="n"/>
      <c r="J41" s="4" t="n"/>
      <c r="K41" s="4" t="n"/>
      <c r="L41" s="4" t="n"/>
      <c r="M41" s="4" t="n"/>
      <c r="N41" s="4" t="n"/>
      <c r="O41" s="4" t="n"/>
      <c r="P41" s="4" t="n"/>
      <c r="Q41" s="4" t="n"/>
      <c r="R41" s="4" t="n"/>
      <c r="S41" s="4" t="n"/>
      <c r="T41" s="4" t="n"/>
      <c r="U41" s="4" t="n"/>
      <c r="V41" s="4" t="n"/>
      <c r="W41" s="4" t="n"/>
      <c r="X41" s="4" t="n"/>
      <c r="Y41" s="4" t="n"/>
      <c r="Z41" s="4" t="n"/>
    </row>
    <row r="42" ht="15.75" customHeight="1" s="22">
      <c r="A42" s="1" t="n"/>
      <c r="B42" s="1" t="n"/>
      <c r="C42" s="1" t="n"/>
      <c r="D42" s="1" t="n"/>
      <c r="E42" s="1" t="n"/>
      <c r="F42" s="1" t="n"/>
      <c r="G42" s="1" t="n"/>
      <c r="H42" s="1" t="n"/>
      <c r="I42" s="4" t="n"/>
      <c r="J42" s="4" t="n"/>
      <c r="K42" s="4" t="n"/>
      <c r="L42" s="4" t="n"/>
      <c r="M42" s="4" t="n"/>
      <c r="N42" s="4" t="n"/>
      <c r="O42" s="4" t="n"/>
      <c r="P42" s="4" t="n"/>
      <c r="Q42" s="4" t="n"/>
      <c r="R42" s="4" t="n"/>
      <c r="S42" s="4" t="n"/>
      <c r="T42" s="4" t="n"/>
      <c r="U42" s="4" t="n"/>
      <c r="V42" s="4" t="n"/>
      <c r="W42" s="4" t="n"/>
      <c r="X42" s="4" t="n"/>
      <c r="Y42" s="4" t="n"/>
      <c r="Z42" s="4" t="n"/>
    </row>
    <row r="43" ht="15.75" customHeight="1" s="22">
      <c r="A43" s="1" t="n"/>
      <c r="B43" s="1" t="n"/>
      <c r="C43" s="1" t="n"/>
      <c r="D43" s="1" t="n"/>
      <c r="E43" s="1" t="n"/>
      <c r="F43" s="1" t="n"/>
      <c r="G43" s="1" t="n"/>
      <c r="H43" s="1" t="n"/>
      <c r="I43" s="4" t="n"/>
      <c r="J43" s="4" t="n"/>
      <c r="K43" s="4" t="n"/>
      <c r="L43" s="4" t="n"/>
      <c r="M43" s="4" t="n"/>
      <c r="N43" s="4" t="n"/>
      <c r="O43" s="4" t="n"/>
      <c r="P43" s="4" t="n"/>
      <c r="Q43" s="4" t="n"/>
      <c r="R43" s="4" t="n"/>
      <c r="S43" s="4" t="n"/>
      <c r="T43" s="4" t="n"/>
      <c r="U43" s="4" t="n"/>
      <c r="V43" s="4" t="n"/>
      <c r="W43" s="4" t="n"/>
      <c r="X43" s="4" t="n"/>
      <c r="Y43" s="4" t="n"/>
      <c r="Z43" s="4" t="n"/>
    </row>
    <row r="44" ht="15.75" customHeight="1" s="22">
      <c r="A44" s="1" t="n"/>
      <c r="B44" s="1" t="n"/>
      <c r="C44" s="1" t="n"/>
      <c r="D44" s="1" t="n"/>
      <c r="E44" s="1" t="n"/>
      <c r="F44" s="1" t="n"/>
      <c r="G44" s="1" t="n"/>
      <c r="H44" s="1" t="n"/>
      <c r="I44" s="4" t="n"/>
      <c r="J44" s="4" t="n"/>
      <c r="K44" s="4" t="n"/>
      <c r="L44" s="4" t="n"/>
      <c r="M44" s="4" t="n"/>
      <c r="N44" s="4" t="n"/>
      <c r="O44" s="4" t="n"/>
      <c r="P44" s="4" t="n"/>
      <c r="Q44" s="4" t="n"/>
      <c r="R44" s="4" t="n"/>
      <c r="S44" s="4" t="n"/>
      <c r="T44" s="4" t="n"/>
      <c r="U44" s="4" t="n"/>
      <c r="V44" s="4" t="n"/>
      <c r="W44" s="4" t="n"/>
      <c r="X44" s="4" t="n"/>
      <c r="Y44" s="4" t="n"/>
      <c r="Z44" s="4" t="n"/>
    </row>
    <row r="45" ht="15.75" customHeight="1" s="22">
      <c r="A45" s="1" t="n"/>
      <c r="B45" s="1" t="n"/>
      <c r="C45" s="1" t="n"/>
      <c r="D45" s="1" t="n"/>
      <c r="E45" s="1" t="n"/>
      <c r="F45" s="1" t="n"/>
      <c r="G45" s="1" t="n"/>
      <c r="H45" s="1" t="n"/>
      <c r="I45" s="4" t="n"/>
      <c r="J45" s="4" t="n"/>
      <c r="K45" s="4" t="n"/>
      <c r="L45" s="4" t="n"/>
      <c r="M45" s="4" t="n"/>
      <c r="N45" s="4" t="n"/>
      <c r="O45" s="4" t="n"/>
      <c r="P45" s="4" t="n"/>
      <c r="Q45" s="4" t="n"/>
      <c r="R45" s="4" t="n"/>
      <c r="S45" s="4" t="n"/>
      <c r="T45" s="4" t="n"/>
      <c r="U45" s="4" t="n"/>
      <c r="V45" s="4" t="n"/>
      <c r="W45" s="4" t="n"/>
      <c r="X45" s="4" t="n"/>
      <c r="Y45" s="4" t="n"/>
      <c r="Z45" s="4" t="n"/>
    </row>
    <row r="46" ht="15.75" customHeight="1" s="22">
      <c r="A46" s="1" t="n"/>
      <c r="B46" s="1" t="n"/>
      <c r="C46" s="1" t="n"/>
      <c r="D46" s="1" t="n"/>
      <c r="E46" s="1" t="n"/>
      <c r="F46" s="1" t="n"/>
      <c r="G46" s="1" t="n"/>
      <c r="H46" s="1" t="n"/>
      <c r="I46" s="4" t="n"/>
      <c r="J46" s="4" t="n"/>
      <c r="K46" s="4" t="n"/>
      <c r="L46" s="4" t="n"/>
      <c r="M46" s="4" t="n"/>
      <c r="N46" s="4" t="n"/>
      <c r="O46" s="4" t="n"/>
      <c r="P46" s="4" t="n"/>
      <c r="Q46" s="4" t="n"/>
      <c r="R46" s="4" t="n"/>
      <c r="S46" s="4" t="n"/>
      <c r="T46" s="4" t="n"/>
      <c r="U46" s="4" t="n"/>
      <c r="V46" s="4" t="n"/>
      <c r="W46" s="4" t="n"/>
      <c r="X46" s="4" t="n"/>
      <c r="Y46" s="4" t="n"/>
      <c r="Z46" s="4" t="n"/>
    </row>
    <row r="47" ht="15.75" customHeight="1" s="22">
      <c r="A47" s="1" t="n"/>
      <c r="B47" s="1" t="n"/>
      <c r="C47" s="1" t="n"/>
      <c r="D47" s="1" t="n"/>
      <c r="E47" s="1" t="n"/>
      <c r="F47" s="1" t="n"/>
      <c r="G47" s="1" t="n"/>
      <c r="H47" s="1" t="n"/>
      <c r="I47" s="4" t="n"/>
      <c r="J47" s="4" t="n"/>
      <c r="K47" s="4" t="n"/>
      <c r="L47" s="4" t="n"/>
      <c r="M47" s="4" t="n"/>
      <c r="N47" s="4" t="n"/>
      <c r="O47" s="4" t="n"/>
      <c r="P47" s="4" t="n"/>
      <c r="Q47" s="4" t="n"/>
      <c r="R47" s="4" t="n"/>
      <c r="S47" s="4" t="n"/>
      <c r="T47" s="4" t="n"/>
      <c r="U47" s="4" t="n"/>
      <c r="V47" s="4" t="n"/>
      <c r="W47" s="4" t="n"/>
      <c r="X47" s="4" t="n"/>
      <c r="Y47" s="4" t="n"/>
      <c r="Z47" s="4" t="n"/>
    </row>
    <row r="48" ht="15.75" customHeight="1" s="22">
      <c r="A48" s="1" t="n"/>
      <c r="B48" s="1" t="n"/>
      <c r="C48" s="1" t="n"/>
      <c r="D48" s="1" t="n"/>
      <c r="E48" s="1" t="n"/>
      <c r="F48" s="1" t="n"/>
      <c r="G48" s="1" t="n"/>
      <c r="H48" s="1" t="n"/>
      <c r="I48" s="4" t="n"/>
      <c r="J48" s="4" t="n"/>
      <c r="K48" s="4" t="n"/>
      <c r="L48" s="4" t="n"/>
      <c r="M48" s="4" t="n"/>
      <c r="N48" s="4" t="n"/>
      <c r="O48" s="4" t="n"/>
      <c r="P48" s="4" t="n"/>
      <c r="Q48" s="4" t="n"/>
      <c r="R48" s="4" t="n"/>
      <c r="S48" s="4" t="n"/>
      <c r="T48" s="4" t="n"/>
      <c r="U48" s="4" t="n"/>
      <c r="V48" s="4" t="n"/>
      <c r="W48" s="4" t="n"/>
      <c r="X48" s="4" t="n"/>
      <c r="Y48" s="4" t="n"/>
      <c r="Z48" s="4" t="n"/>
    </row>
    <row r="49" ht="15.75" customHeight="1" s="22">
      <c r="A49" s="1" t="n"/>
      <c r="B49" s="1" t="n"/>
      <c r="C49" s="1" t="n"/>
      <c r="D49" s="1" t="n"/>
      <c r="E49" s="1" t="n"/>
      <c r="F49" s="1" t="n"/>
      <c r="G49" s="1" t="n"/>
      <c r="H49" s="1" t="n"/>
      <c r="I49" s="4" t="n"/>
      <c r="J49" s="4" t="n"/>
      <c r="K49" s="4" t="n"/>
      <c r="L49" s="4" t="n"/>
      <c r="M49" s="4" t="n"/>
      <c r="N49" s="4" t="n"/>
      <c r="O49" s="4" t="n"/>
      <c r="P49" s="4" t="n"/>
      <c r="Q49" s="4" t="n"/>
      <c r="R49" s="4" t="n"/>
      <c r="S49" s="4" t="n"/>
      <c r="T49" s="4" t="n"/>
      <c r="U49" s="4" t="n"/>
      <c r="V49" s="4" t="n"/>
      <c r="W49" s="4" t="n"/>
      <c r="X49" s="4" t="n"/>
      <c r="Y49" s="4" t="n"/>
      <c r="Z49" s="4" t="n"/>
    </row>
    <row r="50" ht="15.75" customHeight="1" s="22">
      <c r="A50" s="1" t="n"/>
      <c r="B50" s="1" t="n"/>
      <c r="C50" s="1" t="n"/>
      <c r="D50" s="1" t="n"/>
      <c r="E50" s="1" t="n"/>
      <c r="F50" s="1" t="n"/>
      <c r="G50" s="1" t="n"/>
      <c r="H50" s="1" t="n"/>
      <c r="I50" s="4" t="n"/>
      <c r="J50" s="4" t="n"/>
      <c r="K50" s="4" t="n"/>
      <c r="L50" s="4" t="n"/>
      <c r="M50" s="4" t="n"/>
      <c r="N50" s="4" t="n"/>
      <c r="O50" s="4" t="n"/>
      <c r="P50" s="4" t="n"/>
      <c r="Q50" s="4" t="n"/>
      <c r="R50" s="4" t="n"/>
      <c r="S50" s="4" t="n"/>
      <c r="T50" s="4" t="n"/>
      <c r="U50" s="4" t="n"/>
      <c r="V50" s="4" t="n"/>
      <c r="W50" s="4" t="n"/>
      <c r="X50" s="4" t="n"/>
      <c r="Y50" s="4" t="n"/>
      <c r="Z50" s="4" t="n"/>
    </row>
    <row r="51" ht="15.75" customHeight="1" s="22">
      <c r="A51" s="1" t="n"/>
      <c r="B51" s="1" t="n"/>
      <c r="C51" s="1" t="n"/>
      <c r="D51" s="1" t="n"/>
      <c r="E51" s="1" t="n"/>
      <c r="F51" s="1" t="n"/>
      <c r="G51" s="1" t="n"/>
      <c r="H51" s="1" t="n"/>
      <c r="I51" s="4" t="n"/>
      <c r="J51" s="4" t="n"/>
      <c r="K51" s="4" t="n"/>
      <c r="L51" s="4" t="n"/>
      <c r="M51" s="4" t="n"/>
      <c r="N51" s="4" t="n"/>
      <c r="O51" s="4" t="n"/>
      <c r="P51" s="4" t="n"/>
      <c r="Q51" s="4" t="n"/>
      <c r="R51" s="4" t="n"/>
      <c r="S51" s="4" t="n"/>
      <c r="T51" s="4" t="n"/>
      <c r="U51" s="4" t="n"/>
      <c r="V51" s="4" t="n"/>
      <c r="W51" s="4" t="n"/>
      <c r="X51" s="4" t="n"/>
      <c r="Y51" s="4" t="n"/>
      <c r="Z51" s="4" t="n"/>
    </row>
    <row r="52" ht="15.75" customHeight="1" s="22">
      <c r="A52" s="1" t="n"/>
      <c r="B52" s="1" t="n"/>
      <c r="C52" s="1" t="n"/>
      <c r="D52" s="1" t="n"/>
      <c r="E52" s="1" t="n"/>
      <c r="F52" s="1" t="n"/>
      <c r="G52" s="1" t="n"/>
      <c r="H52" s="1" t="n"/>
      <c r="I52" s="4" t="n"/>
      <c r="J52" s="4" t="n"/>
      <c r="K52" s="4" t="n"/>
      <c r="L52" s="4" t="n"/>
      <c r="M52" s="4" t="n"/>
      <c r="N52" s="4" t="n"/>
      <c r="O52" s="4" t="n"/>
      <c r="P52" s="4" t="n"/>
      <c r="Q52" s="4" t="n"/>
      <c r="R52" s="4" t="n"/>
      <c r="S52" s="4" t="n"/>
      <c r="T52" s="4" t="n"/>
      <c r="U52" s="4" t="n"/>
      <c r="V52" s="4" t="n"/>
      <c r="W52" s="4" t="n"/>
      <c r="X52" s="4" t="n"/>
      <c r="Y52" s="4" t="n"/>
      <c r="Z52" s="4" t="n"/>
    </row>
    <row r="53" ht="15.75" customHeight="1" s="22">
      <c r="A53" s="1" t="n"/>
      <c r="B53" s="1" t="n"/>
      <c r="C53" s="1" t="n"/>
      <c r="D53" s="1" t="n"/>
      <c r="E53" s="1" t="n"/>
      <c r="F53" s="1" t="n"/>
      <c r="G53" s="1" t="n"/>
      <c r="H53" s="1" t="n"/>
      <c r="I53" s="4" t="n"/>
      <c r="J53" s="4" t="n"/>
      <c r="K53" s="4" t="n"/>
      <c r="L53" s="4" t="n"/>
      <c r="M53" s="4" t="n"/>
      <c r="N53" s="4" t="n"/>
      <c r="O53" s="4" t="n"/>
      <c r="P53" s="4" t="n"/>
      <c r="Q53" s="4" t="n"/>
      <c r="R53" s="4" t="n"/>
      <c r="S53" s="4" t="n"/>
      <c r="T53" s="4" t="n"/>
      <c r="U53" s="4" t="n"/>
      <c r="V53" s="4" t="n"/>
      <c r="W53" s="4" t="n"/>
      <c r="X53" s="4" t="n"/>
      <c r="Y53" s="4" t="n"/>
      <c r="Z53" s="4" t="n"/>
    </row>
    <row r="54" ht="15.75" customHeight="1" s="22">
      <c r="A54" s="1" t="n"/>
      <c r="B54" s="1" t="n"/>
      <c r="C54" s="1" t="n"/>
      <c r="D54" s="1" t="n"/>
      <c r="E54" s="1" t="n"/>
      <c r="F54" s="1" t="n"/>
      <c r="G54" s="1" t="n"/>
      <c r="H54" s="1" t="n"/>
      <c r="I54" s="4" t="n"/>
      <c r="J54" s="4" t="n"/>
      <c r="K54" s="4" t="n"/>
      <c r="L54" s="4" t="n"/>
      <c r="M54" s="4" t="n"/>
      <c r="N54" s="4" t="n"/>
      <c r="O54" s="4" t="n"/>
      <c r="P54" s="4" t="n"/>
      <c r="Q54" s="4" t="n"/>
      <c r="R54" s="4" t="n"/>
      <c r="S54" s="4" t="n"/>
      <c r="T54" s="4" t="n"/>
      <c r="U54" s="4" t="n"/>
      <c r="V54" s="4" t="n"/>
      <c r="W54" s="4" t="n"/>
      <c r="X54" s="4" t="n"/>
      <c r="Y54" s="4" t="n"/>
      <c r="Z54" s="4" t="n"/>
    </row>
    <row r="55" ht="15.75" customHeight="1" s="22">
      <c r="A55" s="1" t="n"/>
      <c r="B55" s="1" t="n"/>
      <c r="C55" s="1" t="n"/>
      <c r="D55" s="1" t="n"/>
      <c r="E55" s="1" t="n"/>
      <c r="F55" s="1" t="n"/>
      <c r="G55" s="1" t="n"/>
      <c r="H55" s="1" t="n"/>
      <c r="I55" s="4" t="n"/>
      <c r="J55" s="4" t="n"/>
      <c r="K55" s="4" t="n"/>
      <c r="L55" s="4" t="n"/>
      <c r="M55" s="4" t="n"/>
      <c r="N55" s="4" t="n"/>
      <c r="O55" s="4" t="n"/>
      <c r="P55" s="4" t="n"/>
      <c r="Q55" s="4" t="n"/>
      <c r="R55" s="4" t="n"/>
      <c r="S55" s="4" t="n"/>
      <c r="T55" s="4" t="n"/>
      <c r="U55" s="4" t="n"/>
      <c r="V55" s="4" t="n"/>
      <c r="W55" s="4" t="n"/>
      <c r="X55" s="4" t="n"/>
      <c r="Y55" s="4" t="n"/>
      <c r="Z55" s="4" t="n"/>
    </row>
    <row r="56" ht="15.75" customHeight="1" s="22">
      <c r="A56" s="1" t="n"/>
      <c r="B56" s="1" t="n"/>
      <c r="C56" s="1" t="n"/>
      <c r="D56" s="1" t="n"/>
      <c r="E56" s="1" t="n"/>
      <c r="F56" s="1" t="n"/>
      <c r="G56" s="1" t="n"/>
      <c r="H56" s="1" t="n"/>
      <c r="I56" s="4" t="n"/>
      <c r="J56" s="4" t="n"/>
      <c r="K56" s="4" t="n"/>
      <c r="L56" s="4" t="n"/>
      <c r="M56" s="4" t="n"/>
      <c r="N56" s="4" t="n"/>
      <c r="O56" s="4" t="n"/>
      <c r="P56" s="4" t="n"/>
      <c r="Q56" s="4" t="n"/>
      <c r="R56" s="4" t="n"/>
      <c r="S56" s="4" t="n"/>
      <c r="T56" s="4" t="n"/>
      <c r="U56" s="4" t="n"/>
      <c r="V56" s="4" t="n"/>
      <c r="W56" s="4" t="n"/>
      <c r="X56" s="4" t="n"/>
      <c r="Y56" s="4" t="n"/>
      <c r="Z56" s="4" t="n"/>
    </row>
    <row r="57" ht="15.75" customHeight="1" s="22">
      <c r="A57" s="1" t="n"/>
      <c r="B57" s="1" t="n"/>
      <c r="C57" s="1" t="n"/>
      <c r="D57" s="1" t="n"/>
      <c r="E57" s="1" t="n"/>
      <c r="F57" s="1" t="n"/>
      <c r="G57" s="1" t="n"/>
      <c r="H57" s="1" t="n"/>
      <c r="I57" s="4" t="n"/>
      <c r="J57" s="4" t="n"/>
      <c r="K57" s="4" t="n"/>
      <c r="L57" s="4" t="n"/>
      <c r="M57" s="4" t="n"/>
      <c r="N57" s="4" t="n"/>
      <c r="O57" s="4" t="n"/>
      <c r="P57" s="4" t="n"/>
      <c r="Q57" s="4" t="n"/>
      <c r="R57" s="4" t="n"/>
      <c r="S57" s="4" t="n"/>
      <c r="T57" s="4" t="n"/>
      <c r="U57" s="4" t="n"/>
      <c r="V57" s="4" t="n"/>
      <c r="W57" s="4" t="n"/>
      <c r="X57" s="4" t="n"/>
      <c r="Y57" s="4" t="n"/>
      <c r="Z57" s="4" t="n"/>
    </row>
    <row r="58" ht="15.75" customHeight="1" s="22">
      <c r="A58" s="1" t="n"/>
      <c r="B58" s="1" t="n"/>
      <c r="C58" s="1" t="n"/>
      <c r="D58" s="1" t="n"/>
      <c r="E58" s="1" t="n"/>
      <c r="F58" s="1" t="n"/>
      <c r="G58" s="1" t="n"/>
      <c r="H58" s="1" t="n"/>
      <c r="I58" s="4" t="n"/>
      <c r="J58" s="4" t="n"/>
      <c r="K58" s="4" t="n"/>
      <c r="L58" s="4" t="n"/>
      <c r="M58" s="4" t="n"/>
      <c r="N58" s="4" t="n"/>
      <c r="O58" s="4" t="n"/>
      <c r="P58" s="4" t="n"/>
      <c r="Q58" s="4" t="n"/>
      <c r="R58" s="4" t="n"/>
      <c r="S58" s="4" t="n"/>
      <c r="T58" s="4" t="n"/>
      <c r="U58" s="4" t="n"/>
      <c r="V58" s="4" t="n"/>
      <c r="W58" s="4" t="n"/>
      <c r="X58" s="4" t="n"/>
      <c r="Y58" s="4" t="n"/>
      <c r="Z58" s="4" t="n"/>
    </row>
    <row r="59" ht="15.75" customHeight="1" s="22">
      <c r="A59" s="1" t="n"/>
      <c r="B59" s="1" t="n"/>
      <c r="C59" s="1" t="n"/>
      <c r="D59" s="1" t="n"/>
      <c r="E59" s="1" t="n"/>
      <c r="F59" s="1" t="n"/>
      <c r="G59" s="1" t="n"/>
      <c r="H59" s="1" t="n"/>
      <c r="I59" s="4" t="n"/>
      <c r="J59" s="4" t="n"/>
      <c r="K59" s="4" t="n"/>
      <c r="L59" s="4" t="n"/>
      <c r="M59" s="4" t="n"/>
      <c r="N59" s="4" t="n"/>
      <c r="O59" s="4" t="n"/>
      <c r="P59" s="4" t="n"/>
      <c r="Q59" s="4" t="n"/>
      <c r="R59" s="4" t="n"/>
      <c r="S59" s="4" t="n"/>
      <c r="T59" s="4" t="n"/>
      <c r="U59" s="4" t="n"/>
      <c r="V59" s="4" t="n"/>
      <c r="W59" s="4" t="n"/>
      <c r="X59" s="4" t="n"/>
      <c r="Y59" s="4" t="n"/>
      <c r="Z59" s="4" t="n"/>
    </row>
    <row r="60" ht="15.75" customHeight="1" s="22">
      <c r="A60" s="1" t="n"/>
      <c r="B60" s="1" t="n"/>
      <c r="C60" s="1" t="n"/>
      <c r="D60" s="1" t="n"/>
      <c r="E60" s="1" t="n"/>
      <c r="F60" s="1" t="n"/>
      <c r="G60" s="1" t="n"/>
      <c r="H60" s="1" t="n"/>
      <c r="I60" s="4" t="n"/>
      <c r="J60" s="4" t="n"/>
      <c r="K60" s="4" t="n"/>
      <c r="L60" s="4" t="n"/>
      <c r="M60" s="4" t="n"/>
      <c r="N60" s="4" t="n"/>
      <c r="O60" s="4" t="n"/>
      <c r="P60" s="4" t="n"/>
      <c r="Q60" s="4" t="n"/>
      <c r="R60" s="4" t="n"/>
      <c r="S60" s="4" t="n"/>
      <c r="T60" s="4" t="n"/>
      <c r="U60" s="4" t="n"/>
      <c r="V60" s="4" t="n"/>
      <c r="W60" s="4" t="n"/>
      <c r="X60" s="4" t="n"/>
      <c r="Y60" s="4" t="n"/>
      <c r="Z60" s="4" t="n"/>
    </row>
    <row r="61" ht="15.75" customHeight="1" s="22">
      <c r="A61" s="1" t="n"/>
      <c r="B61" s="1" t="n"/>
      <c r="C61" s="1" t="n"/>
      <c r="D61" s="1" t="n"/>
      <c r="E61" s="1" t="n"/>
      <c r="F61" s="1" t="n"/>
      <c r="G61" s="1" t="n"/>
      <c r="H61" s="1" t="n"/>
      <c r="I61" s="4" t="n"/>
      <c r="J61" s="4" t="n"/>
      <c r="K61" s="4" t="n"/>
      <c r="L61" s="4" t="n"/>
      <c r="M61" s="4" t="n"/>
      <c r="N61" s="4" t="n"/>
      <c r="O61" s="4" t="n"/>
      <c r="P61" s="4" t="n"/>
      <c r="Q61" s="4" t="n"/>
      <c r="R61" s="4" t="n"/>
      <c r="S61" s="4" t="n"/>
      <c r="T61" s="4" t="n"/>
      <c r="U61" s="4" t="n"/>
      <c r="V61" s="4" t="n"/>
      <c r="W61" s="4" t="n"/>
      <c r="X61" s="4" t="n"/>
      <c r="Y61" s="4" t="n"/>
      <c r="Z61" s="4" t="n"/>
    </row>
    <row r="62" ht="15.75" customHeight="1" s="22">
      <c r="A62" s="1" t="n"/>
      <c r="B62" s="1" t="n"/>
      <c r="C62" s="1" t="n"/>
      <c r="D62" s="1" t="n"/>
      <c r="E62" s="1" t="n"/>
      <c r="F62" s="1" t="n"/>
      <c r="G62" s="1" t="n"/>
      <c r="H62" s="1" t="n"/>
      <c r="I62" s="4" t="n"/>
      <c r="J62" s="4" t="n"/>
      <c r="K62" s="4" t="n"/>
      <c r="L62" s="4" t="n"/>
      <c r="M62" s="4" t="n"/>
      <c r="N62" s="4" t="n"/>
      <c r="O62" s="4" t="n"/>
      <c r="P62" s="4" t="n"/>
      <c r="Q62" s="4" t="n"/>
      <c r="R62" s="4" t="n"/>
      <c r="S62" s="4" t="n"/>
      <c r="T62" s="4" t="n"/>
      <c r="U62" s="4" t="n"/>
      <c r="V62" s="4" t="n"/>
      <c r="W62" s="4" t="n"/>
      <c r="X62" s="4" t="n"/>
      <c r="Y62" s="4" t="n"/>
      <c r="Z62" s="4" t="n"/>
    </row>
    <row r="63" ht="15.75" customHeight="1" s="22">
      <c r="A63" s="1" t="n"/>
      <c r="B63" s="1" t="n"/>
      <c r="C63" s="1" t="n"/>
      <c r="D63" s="1" t="n"/>
      <c r="E63" s="1" t="n"/>
      <c r="F63" s="1" t="n"/>
      <c r="G63" s="1" t="n"/>
      <c r="H63" s="1" t="n"/>
      <c r="I63" s="4" t="n"/>
      <c r="J63" s="4" t="n"/>
      <c r="K63" s="4" t="n"/>
      <c r="L63" s="4" t="n"/>
      <c r="M63" s="4" t="n"/>
      <c r="N63" s="4" t="n"/>
      <c r="O63" s="4" t="n"/>
      <c r="P63" s="4" t="n"/>
      <c r="Q63" s="4" t="n"/>
      <c r="R63" s="4" t="n"/>
      <c r="S63" s="4" t="n"/>
      <c r="T63" s="4" t="n"/>
      <c r="U63" s="4" t="n"/>
      <c r="V63" s="4" t="n"/>
      <c r="W63" s="4" t="n"/>
      <c r="X63" s="4" t="n"/>
      <c r="Y63" s="4" t="n"/>
      <c r="Z63" s="4" t="n"/>
    </row>
    <row r="64" ht="15.75" customHeight="1" s="22">
      <c r="A64" s="1" t="n"/>
      <c r="B64" s="1" t="n"/>
      <c r="C64" s="1" t="n"/>
      <c r="D64" s="1" t="n"/>
      <c r="E64" s="1" t="n"/>
      <c r="F64" s="1" t="n"/>
      <c r="G64" s="1" t="n"/>
      <c r="H64" s="1" t="n"/>
      <c r="I64" s="4" t="n"/>
      <c r="J64" s="4" t="n"/>
      <c r="K64" s="4" t="n"/>
      <c r="L64" s="4" t="n"/>
      <c r="M64" s="4" t="n"/>
      <c r="N64" s="4" t="n"/>
      <c r="O64" s="4" t="n"/>
      <c r="P64" s="4" t="n"/>
      <c r="Q64" s="4" t="n"/>
      <c r="R64" s="4" t="n"/>
      <c r="S64" s="4" t="n"/>
      <c r="T64" s="4" t="n"/>
      <c r="U64" s="4" t="n"/>
      <c r="V64" s="4" t="n"/>
      <c r="W64" s="4" t="n"/>
      <c r="X64" s="4" t="n"/>
      <c r="Y64" s="4" t="n"/>
      <c r="Z64" s="4" t="n"/>
    </row>
    <row r="65" ht="15.75" customHeight="1" s="22">
      <c r="A65" s="1" t="n"/>
      <c r="B65" s="1" t="n"/>
      <c r="C65" s="1" t="n"/>
      <c r="D65" s="1" t="n"/>
      <c r="E65" s="1" t="n"/>
      <c r="F65" s="1" t="n"/>
      <c r="G65" s="1" t="n"/>
      <c r="H65" s="1" t="n"/>
      <c r="I65" s="4" t="n"/>
      <c r="J65" s="4" t="n"/>
      <c r="K65" s="4" t="n"/>
      <c r="L65" s="4" t="n"/>
      <c r="M65" s="4" t="n"/>
      <c r="N65" s="4" t="n"/>
      <c r="O65" s="4" t="n"/>
      <c r="P65" s="4" t="n"/>
      <c r="Q65" s="4" t="n"/>
      <c r="R65" s="4" t="n"/>
      <c r="S65" s="4" t="n"/>
      <c r="T65" s="4" t="n"/>
      <c r="U65" s="4" t="n"/>
      <c r="V65" s="4" t="n"/>
      <c r="W65" s="4" t="n"/>
      <c r="X65" s="4" t="n"/>
      <c r="Y65" s="4" t="n"/>
      <c r="Z65" s="4" t="n"/>
    </row>
    <row r="66" ht="15.75" customHeight="1" s="22">
      <c r="A66" s="1" t="n"/>
      <c r="B66" s="1" t="n"/>
      <c r="C66" s="1" t="n"/>
      <c r="D66" s="1" t="n"/>
      <c r="E66" s="1" t="n"/>
      <c r="F66" s="1" t="n"/>
      <c r="G66" s="1" t="n"/>
      <c r="H66" s="1" t="n"/>
      <c r="I66" s="4" t="n"/>
      <c r="J66" s="4" t="n"/>
      <c r="K66" s="4" t="n"/>
      <c r="L66" s="4" t="n"/>
      <c r="M66" s="4" t="n"/>
      <c r="N66" s="4" t="n"/>
      <c r="O66" s="4" t="n"/>
      <c r="P66" s="4" t="n"/>
      <c r="Q66" s="4" t="n"/>
      <c r="R66" s="4" t="n"/>
      <c r="S66" s="4" t="n"/>
      <c r="T66" s="4" t="n"/>
      <c r="U66" s="4" t="n"/>
      <c r="V66" s="4" t="n"/>
      <c r="W66" s="4" t="n"/>
      <c r="X66" s="4" t="n"/>
      <c r="Y66" s="4" t="n"/>
      <c r="Z66" s="4" t="n"/>
    </row>
    <row r="67" ht="15.75" customHeight="1" s="22">
      <c r="A67" s="1" t="n"/>
      <c r="B67" s="1" t="n"/>
      <c r="C67" s="1" t="n"/>
      <c r="D67" s="1" t="n"/>
      <c r="E67" s="1" t="n"/>
      <c r="F67" s="1" t="n"/>
      <c r="G67" s="1" t="n"/>
      <c r="H67" s="1" t="n"/>
      <c r="I67" s="4" t="n"/>
      <c r="J67" s="4" t="n"/>
      <c r="K67" s="4" t="n"/>
      <c r="L67" s="4" t="n"/>
      <c r="M67" s="4" t="n"/>
      <c r="N67" s="4" t="n"/>
      <c r="O67" s="4" t="n"/>
      <c r="P67" s="4" t="n"/>
      <c r="Q67" s="4" t="n"/>
      <c r="R67" s="4" t="n"/>
      <c r="S67" s="4" t="n"/>
      <c r="T67" s="4" t="n"/>
      <c r="U67" s="4" t="n"/>
      <c r="V67" s="4" t="n"/>
      <c r="W67" s="4" t="n"/>
      <c r="X67" s="4" t="n"/>
      <c r="Y67" s="4" t="n"/>
      <c r="Z67" s="4" t="n"/>
    </row>
    <row r="68" ht="15.75" customHeight="1" s="22">
      <c r="A68" s="1" t="n"/>
      <c r="B68" s="1" t="n"/>
      <c r="C68" s="1" t="n"/>
      <c r="D68" s="1" t="n"/>
      <c r="E68" s="1" t="n"/>
      <c r="F68" s="1" t="n"/>
      <c r="G68" s="1" t="n"/>
      <c r="H68" s="1" t="n"/>
      <c r="I68" s="4" t="n"/>
      <c r="J68" s="4" t="n"/>
      <c r="K68" s="4" t="n"/>
      <c r="L68" s="4" t="n"/>
      <c r="M68" s="4" t="n"/>
      <c r="N68" s="4" t="n"/>
      <c r="O68" s="4" t="n"/>
      <c r="P68" s="4" t="n"/>
      <c r="Q68" s="4" t="n"/>
      <c r="R68" s="4" t="n"/>
      <c r="S68" s="4" t="n"/>
      <c r="T68" s="4" t="n"/>
      <c r="U68" s="4" t="n"/>
      <c r="V68" s="4" t="n"/>
      <c r="W68" s="4" t="n"/>
      <c r="X68" s="4" t="n"/>
      <c r="Y68" s="4" t="n"/>
      <c r="Z68" s="4" t="n"/>
    </row>
    <row r="69" ht="15.75" customHeight="1" s="22">
      <c r="A69" s="1" t="n"/>
      <c r="B69" s="1" t="n"/>
      <c r="C69" s="1" t="n"/>
      <c r="D69" s="1" t="n"/>
      <c r="E69" s="1" t="n"/>
      <c r="F69" s="1" t="n"/>
      <c r="G69" s="1" t="n"/>
      <c r="H69" s="1" t="n"/>
      <c r="I69" s="4" t="n"/>
      <c r="J69" s="4" t="n"/>
      <c r="K69" s="4" t="n"/>
      <c r="L69" s="4" t="n"/>
      <c r="M69" s="4" t="n"/>
      <c r="N69" s="4" t="n"/>
      <c r="O69" s="4" t="n"/>
      <c r="P69" s="4" t="n"/>
      <c r="Q69" s="4" t="n"/>
      <c r="R69" s="4" t="n"/>
      <c r="S69" s="4" t="n"/>
      <c r="T69" s="4" t="n"/>
      <c r="U69" s="4" t="n"/>
      <c r="V69" s="4" t="n"/>
      <c r="W69" s="4" t="n"/>
      <c r="X69" s="4" t="n"/>
      <c r="Y69" s="4" t="n"/>
      <c r="Z69" s="4" t="n"/>
    </row>
    <row r="70" ht="15.75" customHeight="1" s="22">
      <c r="A70" s="1" t="n"/>
      <c r="B70" s="1" t="n"/>
      <c r="C70" s="1" t="n"/>
      <c r="D70" s="1" t="n"/>
      <c r="E70" s="1" t="n"/>
      <c r="F70" s="1" t="n"/>
      <c r="G70" s="1" t="n"/>
      <c r="H70" s="1" t="n"/>
      <c r="I70" s="4" t="n"/>
      <c r="J70" s="4" t="n"/>
      <c r="K70" s="4" t="n"/>
      <c r="L70" s="4" t="n"/>
      <c r="M70" s="4" t="n"/>
      <c r="N70" s="4" t="n"/>
      <c r="O70" s="4" t="n"/>
      <c r="P70" s="4" t="n"/>
      <c r="Q70" s="4" t="n"/>
      <c r="R70" s="4" t="n"/>
      <c r="S70" s="4" t="n"/>
      <c r="T70" s="4" t="n"/>
      <c r="U70" s="4" t="n"/>
      <c r="V70" s="4" t="n"/>
      <c r="W70" s="4" t="n"/>
      <c r="X70" s="4" t="n"/>
      <c r="Y70" s="4" t="n"/>
      <c r="Z70" s="4" t="n"/>
    </row>
    <row r="71" ht="15.75" customHeight="1" s="22">
      <c r="A71" s="1" t="n"/>
      <c r="B71" s="1" t="n"/>
      <c r="C71" s="1" t="n"/>
      <c r="D71" s="1" t="n"/>
      <c r="E71" s="1" t="n"/>
      <c r="F71" s="1" t="n"/>
      <c r="G71" s="1" t="n"/>
      <c r="H71" s="1" t="n"/>
      <c r="I71" s="4" t="n"/>
      <c r="J71" s="4" t="n"/>
      <c r="K71" s="4" t="n"/>
      <c r="L71" s="4" t="n"/>
      <c r="M71" s="4" t="n"/>
      <c r="N71" s="4" t="n"/>
      <c r="O71" s="4" t="n"/>
      <c r="P71" s="4" t="n"/>
      <c r="Q71" s="4" t="n"/>
      <c r="R71" s="4" t="n"/>
      <c r="S71" s="4" t="n"/>
      <c r="T71" s="4" t="n"/>
      <c r="U71" s="4" t="n"/>
      <c r="V71" s="4" t="n"/>
      <c r="W71" s="4" t="n"/>
      <c r="X71" s="4" t="n"/>
      <c r="Y71" s="4" t="n"/>
      <c r="Z71" s="4" t="n"/>
    </row>
    <row r="72" ht="15.75" customHeight="1" s="22">
      <c r="A72" s="1" t="n"/>
      <c r="B72" s="1" t="n"/>
      <c r="C72" s="1" t="n"/>
      <c r="D72" s="1" t="n"/>
      <c r="E72" s="1" t="n"/>
      <c r="F72" s="1" t="n"/>
      <c r="G72" s="1" t="n"/>
      <c r="H72" s="1" t="n"/>
      <c r="I72" s="4" t="n"/>
      <c r="J72" s="4" t="n"/>
      <c r="K72" s="4" t="n"/>
      <c r="L72" s="4" t="n"/>
      <c r="M72" s="4" t="n"/>
      <c r="N72" s="4" t="n"/>
      <c r="O72" s="4" t="n"/>
      <c r="P72" s="4" t="n"/>
      <c r="Q72" s="4" t="n"/>
      <c r="R72" s="4" t="n"/>
      <c r="S72" s="4" t="n"/>
      <c r="T72" s="4" t="n"/>
      <c r="U72" s="4" t="n"/>
      <c r="V72" s="4" t="n"/>
      <c r="W72" s="4" t="n"/>
      <c r="X72" s="4" t="n"/>
      <c r="Y72" s="4" t="n"/>
      <c r="Z72" s="4" t="n"/>
    </row>
    <row r="73" ht="15.75" customHeight="1" s="22">
      <c r="A73" s="1" t="n"/>
      <c r="B73" s="1" t="n"/>
      <c r="C73" s="1" t="n"/>
      <c r="D73" s="1" t="n"/>
      <c r="E73" s="1" t="n"/>
      <c r="F73" s="1" t="n"/>
      <c r="G73" s="1" t="n"/>
      <c r="H73" s="1" t="n"/>
      <c r="I73" s="4" t="n"/>
      <c r="J73" s="4" t="n"/>
      <c r="K73" s="4" t="n"/>
      <c r="L73" s="4" t="n"/>
      <c r="M73" s="4" t="n"/>
      <c r="N73" s="4" t="n"/>
      <c r="O73" s="4" t="n"/>
      <c r="P73" s="4" t="n"/>
      <c r="Q73" s="4" t="n"/>
      <c r="R73" s="4" t="n"/>
      <c r="S73" s="4" t="n"/>
      <c r="T73" s="4" t="n"/>
      <c r="U73" s="4" t="n"/>
      <c r="V73" s="4" t="n"/>
      <c r="W73" s="4" t="n"/>
      <c r="X73" s="4" t="n"/>
      <c r="Y73" s="4" t="n"/>
      <c r="Z73" s="4" t="n"/>
    </row>
    <row r="74" ht="15.75" customHeight="1" s="22">
      <c r="A74" s="1" t="n"/>
      <c r="B74" s="1" t="n"/>
      <c r="C74" s="1" t="n"/>
      <c r="D74" s="1" t="n"/>
      <c r="E74" s="1" t="n"/>
      <c r="F74" s="1" t="n"/>
      <c r="G74" s="1" t="n"/>
      <c r="H74" s="1" t="n"/>
      <c r="I74" s="4" t="n"/>
      <c r="J74" s="4" t="n"/>
      <c r="K74" s="4" t="n"/>
      <c r="L74" s="4" t="n"/>
      <c r="M74" s="4" t="n"/>
      <c r="N74" s="4" t="n"/>
      <c r="O74" s="4" t="n"/>
      <c r="P74" s="4" t="n"/>
      <c r="Q74" s="4" t="n"/>
      <c r="R74" s="4" t="n"/>
      <c r="S74" s="4" t="n"/>
      <c r="T74" s="4" t="n"/>
      <c r="U74" s="4" t="n"/>
      <c r="V74" s="4" t="n"/>
      <c r="W74" s="4" t="n"/>
      <c r="X74" s="4" t="n"/>
      <c r="Y74" s="4" t="n"/>
      <c r="Z74" s="4" t="n"/>
    </row>
    <row r="75" ht="15.75" customHeight="1" s="22">
      <c r="A75" s="1" t="n"/>
      <c r="B75" s="1" t="n"/>
      <c r="C75" s="1" t="n"/>
      <c r="D75" s="1" t="n"/>
      <c r="E75" s="1" t="n"/>
      <c r="F75" s="1" t="n"/>
      <c r="G75" s="1" t="n"/>
      <c r="H75" s="1" t="n"/>
      <c r="I75" s="4" t="n"/>
      <c r="J75" s="4" t="n"/>
      <c r="K75" s="4" t="n"/>
      <c r="L75" s="4" t="n"/>
      <c r="M75" s="4" t="n"/>
      <c r="N75" s="4" t="n"/>
      <c r="O75" s="4" t="n"/>
      <c r="P75" s="4" t="n"/>
      <c r="Q75" s="4" t="n"/>
      <c r="R75" s="4" t="n"/>
      <c r="S75" s="4" t="n"/>
      <c r="T75" s="4" t="n"/>
      <c r="U75" s="4" t="n"/>
      <c r="V75" s="4" t="n"/>
      <c r="W75" s="4" t="n"/>
      <c r="X75" s="4" t="n"/>
      <c r="Y75" s="4" t="n"/>
      <c r="Z75" s="4" t="n"/>
    </row>
    <row r="76" ht="15.75" customHeight="1" s="22">
      <c r="A76" s="1" t="n"/>
      <c r="B76" s="1" t="n"/>
      <c r="C76" s="1" t="n"/>
      <c r="D76" s="1" t="n"/>
      <c r="E76" s="1" t="n"/>
      <c r="F76" s="1" t="n"/>
      <c r="G76" s="1" t="n"/>
      <c r="H76" s="1" t="n"/>
      <c r="I76" s="4" t="n"/>
      <c r="J76" s="4" t="n"/>
      <c r="K76" s="4" t="n"/>
      <c r="L76" s="4" t="n"/>
      <c r="M76" s="4" t="n"/>
      <c r="N76" s="4" t="n"/>
      <c r="O76" s="4" t="n"/>
      <c r="P76" s="4" t="n"/>
      <c r="Q76" s="4" t="n"/>
      <c r="R76" s="4" t="n"/>
      <c r="S76" s="4" t="n"/>
      <c r="T76" s="4" t="n"/>
      <c r="U76" s="4" t="n"/>
      <c r="V76" s="4" t="n"/>
      <c r="W76" s="4" t="n"/>
      <c r="X76" s="4" t="n"/>
      <c r="Y76" s="4" t="n"/>
      <c r="Z76" s="4" t="n"/>
    </row>
    <row r="77" ht="15.75" customHeight="1" s="22">
      <c r="A77" s="1" t="n"/>
      <c r="B77" s="1" t="n"/>
      <c r="C77" s="1" t="n"/>
      <c r="D77" s="1" t="n"/>
      <c r="E77" s="1" t="n"/>
      <c r="F77" s="1" t="n"/>
      <c r="G77" s="1" t="n"/>
      <c r="H77" s="1" t="n"/>
      <c r="I77" s="4" t="n"/>
      <c r="J77" s="4" t="n"/>
      <c r="K77" s="4" t="n"/>
      <c r="L77" s="4" t="n"/>
      <c r="M77" s="4" t="n"/>
      <c r="N77" s="4" t="n"/>
      <c r="O77" s="4" t="n"/>
      <c r="P77" s="4" t="n"/>
      <c r="Q77" s="4" t="n"/>
      <c r="R77" s="4" t="n"/>
      <c r="S77" s="4" t="n"/>
      <c r="T77" s="4" t="n"/>
      <c r="U77" s="4" t="n"/>
      <c r="V77" s="4" t="n"/>
      <c r="W77" s="4" t="n"/>
      <c r="X77" s="4" t="n"/>
      <c r="Y77" s="4" t="n"/>
      <c r="Z77" s="4" t="n"/>
    </row>
    <row r="78" ht="15.75" customHeight="1" s="22">
      <c r="A78" s="1" t="n"/>
      <c r="B78" s="1" t="n"/>
      <c r="C78" s="1" t="n"/>
      <c r="D78" s="1" t="n"/>
      <c r="E78" s="1" t="n"/>
      <c r="F78" s="1" t="n"/>
      <c r="G78" s="1" t="n"/>
      <c r="H78" s="1" t="n"/>
      <c r="I78" s="4" t="n"/>
      <c r="J78" s="4" t="n"/>
      <c r="K78" s="4" t="n"/>
      <c r="L78" s="4" t="n"/>
      <c r="M78" s="4" t="n"/>
      <c r="N78" s="4" t="n"/>
      <c r="O78" s="4" t="n"/>
      <c r="P78" s="4" t="n"/>
      <c r="Q78" s="4" t="n"/>
      <c r="R78" s="4" t="n"/>
      <c r="S78" s="4" t="n"/>
      <c r="T78" s="4" t="n"/>
      <c r="U78" s="4" t="n"/>
      <c r="V78" s="4" t="n"/>
      <c r="W78" s="4" t="n"/>
      <c r="X78" s="4" t="n"/>
      <c r="Y78" s="4" t="n"/>
      <c r="Z78" s="4" t="n"/>
    </row>
    <row r="79" ht="15.75" customHeight="1" s="22">
      <c r="A79" s="1" t="n"/>
      <c r="B79" s="1" t="n"/>
      <c r="C79" s="1" t="n"/>
      <c r="D79" s="1" t="n"/>
      <c r="E79" s="1" t="n"/>
      <c r="F79" s="1" t="n"/>
      <c r="G79" s="1" t="n"/>
      <c r="H79" s="1" t="n"/>
      <c r="I79" s="4" t="n"/>
      <c r="J79" s="4" t="n"/>
      <c r="K79" s="4" t="n"/>
      <c r="L79" s="4" t="n"/>
      <c r="M79" s="4" t="n"/>
      <c r="N79" s="4" t="n"/>
      <c r="O79" s="4" t="n"/>
      <c r="P79" s="4" t="n"/>
      <c r="Q79" s="4" t="n"/>
      <c r="R79" s="4" t="n"/>
      <c r="S79" s="4" t="n"/>
      <c r="T79" s="4" t="n"/>
      <c r="U79" s="4" t="n"/>
      <c r="V79" s="4" t="n"/>
      <c r="W79" s="4" t="n"/>
      <c r="X79" s="4" t="n"/>
      <c r="Y79" s="4" t="n"/>
      <c r="Z79" s="4" t="n"/>
    </row>
    <row r="80" ht="15.75" customHeight="1" s="22">
      <c r="A80" s="1" t="n"/>
      <c r="B80" s="1" t="n"/>
      <c r="C80" s="1" t="n"/>
      <c r="D80" s="1" t="n"/>
      <c r="E80" s="1" t="n"/>
      <c r="F80" s="1" t="n"/>
      <c r="G80" s="1" t="n"/>
      <c r="H80" s="1" t="n"/>
      <c r="I80" s="4" t="n"/>
      <c r="J80" s="4" t="n"/>
      <c r="K80" s="4" t="n"/>
      <c r="L80" s="4" t="n"/>
      <c r="M80" s="4" t="n"/>
      <c r="N80" s="4" t="n"/>
      <c r="O80" s="4" t="n"/>
      <c r="P80" s="4" t="n"/>
      <c r="Q80" s="4" t="n"/>
      <c r="R80" s="4" t="n"/>
      <c r="S80" s="4" t="n"/>
      <c r="T80" s="4" t="n"/>
      <c r="U80" s="4" t="n"/>
      <c r="V80" s="4" t="n"/>
      <c r="W80" s="4" t="n"/>
      <c r="X80" s="4" t="n"/>
      <c r="Y80" s="4" t="n"/>
      <c r="Z80" s="4" t="n"/>
    </row>
    <row r="81" ht="15.75" customHeight="1" s="22">
      <c r="A81" s="1" t="n"/>
      <c r="B81" s="1" t="n"/>
      <c r="C81" s="1" t="n"/>
      <c r="D81" s="1" t="n"/>
      <c r="E81" s="1" t="n"/>
      <c r="F81" s="1" t="n"/>
      <c r="G81" s="1" t="n"/>
      <c r="H81" s="1" t="n"/>
      <c r="I81" s="4" t="n"/>
      <c r="J81" s="4" t="n"/>
      <c r="K81" s="4" t="n"/>
      <c r="L81" s="4" t="n"/>
      <c r="M81" s="4" t="n"/>
      <c r="N81" s="4" t="n"/>
      <c r="O81" s="4" t="n"/>
      <c r="P81" s="4" t="n"/>
      <c r="Q81" s="4" t="n"/>
      <c r="R81" s="4" t="n"/>
      <c r="S81" s="4" t="n"/>
      <c r="T81" s="4" t="n"/>
      <c r="U81" s="4" t="n"/>
      <c r="V81" s="4" t="n"/>
      <c r="W81" s="4" t="n"/>
      <c r="X81" s="4" t="n"/>
      <c r="Y81" s="4" t="n"/>
      <c r="Z81" s="4" t="n"/>
    </row>
    <row r="82" ht="15.75" customHeight="1" s="22">
      <c r="A82" s="1" t="n"/>
      <c r="B82" s="1" t="n"/>
      <c r="C82" s="1" t="n"/>
      <c r="D82" s="1" t="n"/>
      <c r="E82" s="1" t="n"/>
      <c r="F82" s="1" t="n"/>
      <c r="G82" s="1" t="n"/>
      <c r="H82" s="1" t="n"/>
      <c r="I82" s="4" t="n"/>
      <c r="J82" s="4" t="n"/>
      <c r="K82" s="4" t="n"/>
      <c r="L82" s="4" t="n"/>
      <c r="M82" s="4" t="n"/>
      <c r="N82" s="4" t="n"/>
      <c r="O82" s="4" t="n"/>
      <c r="P82" s="4" t="n"/>
      <c r="Q82" s="4" t="n"/>
      <c r="R82" s="4" t="n"/>
      <c r="S82" s="4" t="n"/>
      <c r="T82" s="4" t="n"/>
      <c r="U82" s="4" t="n"/>
      <c r="V82" s="4" t="n"/>
      <c r="W82" s="4" t="n"/>
      <c r="X82" s="4" t="n"/>
      <c r="Y82" s="4" t="n"/>
      <c r="Z82" s="4" t="n"/>
    </row>
    <row r="83" ht="15.75" customHeight="1" s="22">
      <c r="A83" s="1" t="n"/>
      <c r="B83" s="1" t="n"/>
      <c r="C83" s="1" t="n"/>
      <c r="D83" s="1" t="n"/>
      <c r="E83" s="1" t="n"/>
      <c r="F83" s="1" t="n"/>
      <c r="G83" s="1" t="n"/>
      <c r="H83" s="1" t="n"/>
      <c r="I83" s="4" t="n"/>
      <c r="J83" s="4" t="n"/>
      <c r="K83" s="4" t="n"/>
      <c r="L83" s="4" t="n"/>
      <c r="M83" s="4" t="n"/>
      <c r="N83" s="4" t="n"/>
      <c r="O83" s="4" t="n"/>
      <c r="P83" s="4" t="n"/>
      <c r="Q83" s="4" t="n"/>
      <c r="R83" s="4" t="n"/>
      <c r="S83" s="4" t="n"/>
      <c r="T83" s="4" t="n"/>
      <c r="U83" s="4" t="n"/>
      <c r="V83" s="4" t="n"/>
      <c r="W83" s="4" t="n"/>
      <c r="X83" s="4" t="n"/>
      <c r="Y83" s="4" t="n"/>
      <c r="Z83" s="4" t="n"/>
    </row>
    <row r="84" ht="15.75" customHeight="1" s="22">
      <c r="A84" s="1" t="n"/>
      <c r="B84" s="1" t="n"/>
      <c r="C84" s="1" t="n"/>
      <c r="D84" s="1" t="n"/>
      <c r="E84" s="1" t="n"/>
      <c r="F84" s="1" t="n"/>
      <c r="G84" s="1" t="n"/>
      <c r="H84" s="1" t="n"/>
      <c r="I84" s="4" t="n"/>
      <c r="J84" s="4" t="n"/>
      <c r="K84" s="4" t="n"/>
      <c r="L84" s="4" t="n"/>
      <c r="M84" s="4" t="n"/>
      <c r="N84" s="4" t="n"/>
      <c r="O84" s="4" t="n"/>
      <c r="P84" s="4" t="n"/>
      <c r="Q84" s="4" t="n"/>
      <c r="R84" s="4" t="n"/>
      <c r="S84" s="4" t="n"/>
      <c r="T84" s="4" t="n"/>
      <c r="U84" s="4" t="n"/>
      <c r="V84" s="4" t="n"/>
      <c r="W84" s="4" t="n"/>
      <c r="X84" s="4" t="n"/>
      <c r="Y84" s="4" t="n"/>
      <c r="Z84" s="4" t="n"/>
    </row>
    <row r="85" ht="15.75" customHeight="1" s="22">
      <c r="A85" s="1" t="n"/>
      <c r="B85" s="1" t="n"/>
      <c r="C85" s="1" t="n"/>
      <c r="D85" s="1" t="n"/>
      <c r="E85" s="1" t="n"/>
      <c r="F85" s="1" t="n"/>
      <c r="G85" s="1" t="n"/>
      <c r="H85" s="1" t="n"/>
      <c r="I85" s="4" t="n"/>
      <c r="J85" s="4" t="n"/>
      <c r="K85" s="4" t="n"/>
      <c r="L85" s="4" t="n"/>
      <c r="M85" s="4" t="n"/>
      <c r="N85" s="4" t="n"/>
      <c r="O85" s="4" t="n"/>
      <c r="P85" s="4" t="n"/>
      <c r="Q85" s="4" t="n"/>
      <c r="R85" s="4" t="n"/>
      <c r="S85" s="4" t="n"/>
      <c r="T85" s="4" t="n"/>
      <c r="U85" s="4" t="n"/>
      <c r="V85" s="4" t="n"/>
      <c r="W85" s="4" t="n"/>
      <c r="X85" s="4" t="n"/>
      <c r="Y85" s="4" t="n"/>
      <c r="Z85" s="4" t="n"/>
    </row>
    <row r="86" ht="15.75" customHeight="1" s="22">
      <c r="A86" s="1" t="n"/>
      <c r="B86" s="1" t="n"/>
      <c r="C86" s="1" t="n"/>
      <c r="D86" s="1" t="n"/>
      <c r="E86" s="1" t="n"/>
      <c r="F86" s="1" t="n"/>
      <c r="G86" s="1" t="n"/>
      <c r="H86" s="1" t="n"/>
      <c r="I86" s="4" t="n"/>
      <c r="J86" s="4" t="n"/>
      <c r="K86" s="4" t="n"/>
      <c r="L86" s="4" t="n"/>
      <c r="M86" s="4" t="n"/>
      <c r="N86" s="4" t="n"/>
      <c r="O86" s="4" t="n"/>
      <c r="P86" s="4" t="n"/>
      <c r="Q86" s="4" t="n"/>
      <c r="R86" s="4" t="n"/>
      <c r="S86" s="4" t="n"/>
      <c r="T86" s="4" t="n"/>
      <c r="U86" s="4" t="n"/>
      <c r="V86" s="4" t="n"/>
      <c r="W86" s="4" t="n"/>
      <c r="X86" s="4" t="n"/>
      <c r="Y86" s="4" t="n"/>
      <c r="Z86" s="4" t="n"/>
    </row>
    <row r="87" ht="15.75" customHeight="1" s="22">
      <c r="A87" s="1" t="n"/>
      <c r="B87" s="1" t="n"/>
      <c r="C87" s="1" t="n"/>
      <c r="D87" s="1" t="n"/>
      <c r="E87" s="1" t="n"/>
      <c r="F87" s="1" t="n"/>
      <c r="G87" s="1" t="n"/>
      <c r="H87" s="1" t="n"/>
      <c r="I87" s="4" t="n"/>
      <c r="J87" s="4" t="n"/>
      <c r="K87" s="4" t="n"/>
      <c r="L87" s="4" t="n"/>
      <c r="M87" s="4" t="n"/>
      <c r="N87" s="4" t="n"/>
      <c r="O87" s="4" t="n"/>
      <c r="P87" s="4" t="n"/>
      <c r="Q87" s="4" t="n"/>
      <c r="R87" s="4" t="n"/>
      <c r="S87" s="4" t="n"/>
      <c r="T87" s="4" t="n"/>
      <c r="U87" s="4" t="n"/>
      <c r="V87" s="4" t="n"/>
      <c r="W87" s="4" t="n"/>
      <c r="X87" s="4" t="n"/>
      <c r="Y87" s="4" t="n"/>
      <c r="Z87" s="4" t="n"/>
    </row>
    <row r="88" ht="15.75" customHeight="1" s="22">
      <c r="A88" s="1" t="n"/>
      <c r="B88" s="1" t="n"/>
      <c r="C88" s="1" t="n"/>
      <c r="D88" s="1" t="n"/>
      <c r="E88" s="1" t="n"/>
      <c r="F88" s="1" t="n"/>
      <c r="G88" s="1" t="n"/>
      <c r="H88" s="1" t="n"/>
      <c r="I88" s="4" t="n"/>
      <c r="J88" s="4" t="n"/>
      <c r="K88" s="4" t="n"/>
      <c r="L88" s="4" t="n"/>
      <c r="M88" s="4" t="n"/>
      <c r="N88" s="4" t="n"/>
      <c r="O88" s="4" t="n"/>
      <c r="P88" s="4" t="n"/>
      <c r="Q88" s="4" t="n"/>
      <c r="R88" s="4" t="n"/>
      <c r="S88" s="4" t="n"/>
      <c r="T88" s="4" t="n"/>
      <c r="U88" s="4" t="n"/>
      <c r="V88" s="4" t="n"/>
      <c r="W88" s="4" t="n"/>
      <c r="X88" s="4" t="n"/>
      <c r="Y88" s="4" t="n"/>
      <c r="Z88" s="4" t="n"/>
    </row>
    <row r="89" ht="15.75" customHeight="1" s="22">
      <c r="A89" s="1" t="n"/>
      <c r="B89" s="1" t="n"/>
      <c r="C89" s="1" t="n"/>
      <c r="D89" s="1" t="n"/>
      <c r="E89" s="1" t="n"/>
      <c r="F89" s="1" t="n"/>
      <c r="G89" s="1" t="n"/>
      <c r="H89" s="1" t="n"/>
      <c r="I89" s="4" t="n"/>
      <c r="J89" s="4" t="n"/>
      <c r="K89" s="4" t="n"/>
      <c r="L89" s="4" t="n"/>
      <c r="M89" s="4" t="n"/>
      <c r="N89" s="4" t="n"/>
      <c r="O89" s="4" t="n"/>
      <c r="P89" s="4" t="n"/>
      <c r="Q89" s="4" t="n"/>
      <c r="R89" s="4" t="n"/>
      <c r="S89" s="4" t="n"/>
      <c r="T89" s="4" t="n"/>
      <c r="U89" s="4" t="n"/>
      <c r="V89" s="4" t="n"/>
      <c r="W89" s="4" t="n"/>
      <c r="X89" s="4" t="n"/>
      <c r="Y89" s="4" t="n"/>
      <c r="Z89" s="4" t="n"/>
    </row>
    <row r="90" ht="15.75" customHeight="1" s="22">
      <c r="A90" s="1" t="n"/>
      <c r="B90" s="1" t="n"/>
      <c r="C90" s="1" t="n"/>
      <c r="D90" s="1" t="n"/>
      <c r="E90" s="1" t="n"/>
      <c r="F90" s="1" t="n"/>
      <c r="G90" s="1" t="n"/>
      <c r="H90" s="1" t="n"/>
      <c r="I90" s="4" t="n"/>
      <c r="J90" s="4" t="n"/>
      <c r="K90" s="4" t="n"/>
      <c r="L90" s="4" t="n"/>
      <c r="M90" s="4" t="n"/>
      <c r="N90" s="4" t="n"/>
      <c r="O90" s="4" t="n"/>
      <c r="P90" s="4" t="n"/>
      <c r="Q90" s="4" t="n"/>
      <c r="R90" s="4" t="n"/>
      <c r="S90" s="4" t="n"/>
      <c r="T90" s="4" t="n"/>
      <c r="U90" s="4" t="n"/>
      <c r="V90" s="4" t="n"/>
      <c r="W90" s="4" t="n"/>
      <c r="X90" s="4" t="n"/>
      <c r="Y90" s="4" t="n"/>
      <c r="Z90" s="4" t="n"/>
    </row>
    <row r="91" ht="15.75" customHeight="1" s="22">
      <c r="A91" s="1" t="n"/>
      <c r="B91" s="1" t="n"/>
      <c r="C91" s="1" t="n"/>
      <c r="D91" s="1" t="n"/>
      <c r="E91" s="1" t="n"/>
      <c r="F91" s="1" t="n"/>
      <c r="G91" s="1" t="n"/>
      <c r="H91" s="1" t="n"/>
      <c r="I91" s="4" t="n"/>
      <c r="J91" s="4" t="n"/>
      <c r="K91" s="4" t="n"/>
      <c r="L91" s="4" t="n"/>
      <c r="M91" s="4" t="n"/>
      <c r="N91" s="4" t="n"/>
      <c r="O91" s="4" t="n"/>
      <c r="P91" s="4" t="n"/>
      <c r="Q91" s="4" t="n"/>
      <c r="R91" s="4" t="n"/>
      <c r="S91" s="4" t="n"/>
      <c r="T91" s="4" t="n"/>
      <c r="U91" s="4" t="n"/>
      <c r="V91" s="4" t="n"/>
      <c r="W91" s="4" t="n"/>
      <c r="X91" s="4" t="n"/>
      <c r="Y91" s="4" t="n"/>
      <c r="Z91" s="4" t="n"/>
    </row>
    <row r="92" ht="15.75" customHeight="1" s="22">
      <c r="A92" s="1" t="n"/>
      <c r="B92" s="1" t="n"/>
      <c r="C92" s="1" t="n"/>
      <c r="D92" s="1" t="n"/>
      <c r="E92" s="1" t="n"/>
      <c r="F92" s="1" t="n"/>
      <c r="G92" s="1" t="n"/>
      <c r="H92" s="1" t="n"/>
      <c r="I92" s="4" t="n"/>
      <c r="J92" s="4" t="n"/>
      <c r="K92" s="4" t="n"/>
      <c r="L92" s="4" t="n"/>
      <c r="M92" s="4" t="n"/>
      <c r="N92" s="4" t="n"/>
      <c r="O92" s="4" t="n"/>
      <c r="P92" s="4" t="n"/>
      <c r="Q92" s="4" t="n"/>
      <c r="R92" s="4" t="n"/>
      <c r="S92" s="4" t="n"/>
      <c r="T92" s="4" t="n"/>
      <c r="U92" s="4" t="n"/>
      <c r="V92" s="4" t="n"/>
      <c r="W92" s="4" t="n"/>
      <c r="X92" s="4" t="n"/>
      <c r="Y92" s="4" t="n"/>
      <c r="Z92" s="4" t="n"/>
    </row>
    <row r="93" ht="15.75" customHeight="1" s="22">
      <c r="A93" s="1" t="n"/>
      <c r="B93" s="1" t="n"/>
      <c r="C93" s="1" t="n"/>
      <c r="D93" s="1" t="n"/>
      <c r="E93" s="1" t="n"/>
      <c r="F93" s="1" t="n"/>
      <c r="G93" s="1" t="n"/>
      <c r="H93" s="1" t="n"/>
      <c r="I93" s="4" t="n"/>
      <c r="J93" s="4" t="n"/>
      <c r="K93" s="4" t="n"/>
      <c r="L93" s="4" t="n"/>
      <c r="M93" s="4" t="n"/>
      <c r="N93" s="4" t="n"/>
      <c r="O93" s="4" t="n"/>
      <c r="P93" s="4" t="n"/>
      <c r="Q93" s="4" t="n"/>
      <c r="R93" s="4" t="n"/>
      <c r="S93" s="4" t="n"/>
      <c r="T93" s="4" t="n"/>
      <c r="U93" s="4" t="n"/>
      <c r="V93" s="4" t="n"/>
      <c r="W93" s="4" t="n"/>
      <c r="X93" s="4" t="n"/>
      <c r="Y93" s="4" t="n"/>
      <c r="Z93" s="4" t="n"/>
    </row>
    <row r="94" ht="15.75" customHeight="1" s="22">
      <c r="A94" s="1" t="n"/>
      <c r="B94" s="1" t="n"/>
      <c r="C94" s="1" t="n"/>
      <c r="D94" s="1" t="n"/>
      <c r="E94" s="1" t="n"/>
      <c r="F94" s="1" t="n"/>
      <c r="G94" s="1" t="n"/>
      <c r="H94" s="1" t="n"/>
      <c r="I94" s="4" t="n"/>
      <c r="J94" s="4" t="n"/>
      <c r="K94" s="4" t="n"/>
      <c r="L94" s="4" t="n"/>
      <c r="M94" s="4" t="n"/>
      <c r="N94" s="4" t="n"/>
      <c r="O94" s="4" t="n"/>
      <c r="P94" s="4" t="n"/>
      <c r="Q94" s="4" t="n"/>
      <c r="R94" s="4" t="n"/>
      <c r="S94" s="4" t="n"/>
      <c r="T94" s="4" t="n"/>
      <c r="U94" s="4" t="n"/>
      <c r="V94" s="4" t="n"/>
      <c r="W94" s="4" t="n"/>
      <c r="X94" s="4" t="n"/>
      <c r="Y94" s="4" t="n"/>
      <c r="Z94" s="4" t="n"/>
    </row>
    <row r="95" ht="15.75" customHeight="1" s="22">
      <c r="A95" s="1" t="n"/>
      <c r="B95" s="1" t="n"/>
      <c r="C95" s="1" t="n"/>
      <c r="D95" s="1" t="n"/>
      <c r="E95" s="1" t="n"/>
      <c r="F95" s="1" t="n"/>
      <c r="G95" s="1" t="n"/>
      <c r="H95" s="1" t="n"/>
      <c r="I95" s="4" t="n"/>
      <c r="J95" s="4" t="n"/>
      <c r="K95" s="4" t="n"/>
      <c r="L95" s="4" t="n"/>
      <c r="M95" s="4" t="n"/>
      <c r="N95" s="4" t="n"/>
      <c r="O95" s="4" t="n"/>
      <c r="P95" s="4" t="n"/>
      <c r="Q95" s="4" t="n"/>
      <c r="R95" s="4" t="n"/>
      <c r="S95" s="4" t="n"/>
      <c r="T95" s="4" t="n"/>
      <c r="U95" s="4" t="n"/>
      <c r="V95" s="4" t="n"/>
      <c r="W95" s="4" t="n"/>
      <c r="X95" s="4" t="n"/>
      <c r="Y95" s="4" t="n"/>
      <c r="Z95" s="4" t="n"/>
    </row>
    <row r="96" ht="15.75" customHeight="1" s="22">
      <c r="A96" s="1" t="n"/>
      <c r="B96" s="1" t="n"/>
      <c r="C96" s="1" t="n"/>
      <c r="D96" s="1" t="n"/>
      <c r="E96" s="1" t="n"/>
      <c r="F96" s="1" t="n"/>
      <c r="G96" s="1" t="n"/>
      <c r="H96" s="1" t="n"/>
      <c r="I96" s="4" t="n"/>
      <c r="J96" s="4" t="n"/>
      <c r="K96" s="4" t="n"/>
      <c r="L96" s="4" t="n"/>
      <c r="M96" s="4" t="n"/>
      <c r="N96" s="4" t="n"/>
      <c r="O96" s="4" t="n"/>
      <c r="P96" s="4" t="n"/>
      <c r="Q96" s="4" t="n"/>
      <c r="R96" s="4" t="n"/>
      <c r="S96" s="4" t="n"/>
      <c r="T96" s="4" t="n"/>
      <c r="U96" s="4" t="n"/>
      <c r="V96" s="4" t="n"/>
      <c r="W96" s="4" t="n"/>
      <c r="X96" s="4" t="n"/>
      <c r="Y96" s="4" t="n"/>
      <c r="Z96" s="4" t="n"/>
    </row>
    <row r="97" ht="15.75" customHeight="1" s="22">
      <c r="A97" s="1" t="n"/>
      <c r="B97" s="1" t="n"/>
      <c r="C97" s="1" t="n"/>
      <c r="D97" s="1" t="n"/>
      <c r="E97" s="1" t="n"/>
      <c r="F97" s="1" t="n"/>
      <c r="G97" s="1" t="n"/>
      <c r="H97" s="1" t="n"/>
      <c r="I97" s="4" t="n"/>
      <c r="J97" s="4" t="n"/>
      <c r="K97" s="4" t="n"/>
      <c r="L97" s="4" t="n"/>
      <c r="M97" s="4" t="n"/>
      <c r="N97" s="4" t="n"/>
      <c r="O97" s="4" t="n"/>
      <c r="P97" s="4" t="n"/>
      <c r="Q97" s="4" t="n"/>
      <c r="R97" s="4" t="n"/>
      <c r="S97" s="4" t="n"/>
      <c r="T97" s="4" t="n"/>
      <c r="U97" s="4" t="n"/>
      <c r="V97" s="4" t="n"/>
      <c r="W97" s="4" t="n"/>
      <c r="X97" s="4" t="n"/>
      <c r="Y97" s="4" t="n"/>
      <c r="Z97" s="4" t="n"/>
    </row>
    <row r="98" ht="15.75" customHeight="1" s="22">
      <c r="A98" s="1" t="n"/>
      <c r="B98" s="1" t="n"/>
      <c r="C98" s="1" t="n"/>
      <c r="D98" s="1" t="n"/>
      <c r="E98" s="1" t="n"/>
      <c r="F98" s="1" t="n"/>
      <c r="G98" s="1" t="n"/>
      <c r="H98" s="1" t="n"/>
      <c r="I98" s="4" t="n"/>
      <c r="J98" s="4" t="n"/>
      <c r="K98" s="4" t="n"/>
      <c r="L98" s="4" t="n"/>
      <c r="M98" s="4" t="n"/>
      <c r="N98" s="4" t="n"/>
      <c r="O98" s="4" t="n"/>
      <c r="P98" s="4" t="n"/>
      <c r="Q98" s="4" t="n"/>
      <c r="R98" s="4" t="n"/>
      <c r="S98" s="4" t="n"/>
      <c r="T98" s="4" t="n"/>
      <c r="U98" s="4" t="n"/>
      <c r="V98" s="4" t="n"/>
      <c r="W98" s="4" t="n"/>
      <c r="X98" s="4" t="n"/>
      <c r="Y98" s="4" t="n"/>
      <c r="Z98" s="4" t="n"/>
    </row>
    <row r="99" ht="15.75" customHeight="1" s="22">
      <c r="A99" s="1" t="n"/>
      <c r="B99" s="1" t="n"/>
      <c r="C99" s="1" t="n"/>
      <c r="D99" s="1" t="n"/>
      <c r="E99" s="1" t="n"/>
      <c r="F99" s="1" t="n"/>
      <c r="G99" s="1" t="n"/>
      <c r="H99" s="1" t="n"/>
      <c r="I99" s="4" t="n"/>
      <c r="J99" s="4" t="n"/>
      <c r="K99" s="4" t="n"/>
      <c r="L99" s="4" t="n"/>
      <c r="M99" s="4" t="n"/>
      <c r="N99" s="4" t="n"/>
      <c r="O99" s="4" t="n"/>
      <c r="P99" s="4" t="n"/>
      <c r="Q99" s="4" t="n"/>
      <c r="R99" s="4" t="n"/>
      <c r="S99" s="4" t="n"/>
      <c r="T99" s="4" t="n"/>
      <c r="U99" s="4" t="n"/>
      <c r="V99" s="4" t="n"/>
      <c r="W99" s="4" t="n"/>
      <c r="X99" s="4" t="n"/>
      <c r="Y99" s="4" t="n"/>
      <c r="Z99" s="4" t="n"/>
    </row>
    <row r="100" ht="15.75" customHeight="1" s="22">
      <c r="A100" s="1" t="n"/>
      <c r="B100" s="1" t="n"/>
      <c r="C100" s="1" t="n"/>
      <c r="D100" s="1" t="n"/>
      <c r="E100" s="1" t="n"/>
      <c r="F100" s="1" t="n"/>
      <c r="G100" s="1" t="n"/>
      <c r="H100" s="1"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22">
      <c r="A101" s="1" t="n"/>
      <c r="B101" s="1" t="n"/>
      <c r="C101" s="1" t="n"/>
      <c r="D101" s="1" t="n"/>
      <c r="E101" s="1" t="n"/>
      <c r="F101" s="1" t="n"/>
      <c r="G101" s="1" t="n"/>
      <c r="H101" s="1"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22">
      <c r="A102" s="1" t="n"/>
      <c r="B102" s="1" t="n"/>
      <c r="C102" s="1" t="n"/>
      <c r="D102" s="1" t="n"/>
      <c r="E102" s="1" t="n"/>
      <c r="F102" s="1" t="n"/>
      <c r="G102" s="1" t="n"/>
      <c r="H102" s="1"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22">
      <c r="A103" s="1" t="n"/>
      <c r="B103" s="1" t="n"/>
      <c r="C103" s="1" t="n"/>
      <c r="D103" s="1" t="n"/>
      <c r="E103" s="1" t="n"/>
      <c r="F103" s="1" t="n"/>
      <c r="G103" s="1" t="n"/>
      <c r="H103" s="1"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22">
      <c r="A104" s="1" t="n"/>
      <c r="B104" s="1" t="n"/>
      <c r="C104" s="1" t="n"/>
      <c r="D104" s="1" t="n"/>
      <c r="E104" s="1" t="n"/>
      <c r="F104" s="1" t="n"/>
      <c r="G104" s="1" t="n"/>
      <c r="H104" s="1"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22">
      <c r="A105" s="1" t="n"/>
      <c r="B105" s="1" t="n"/>
      <c r="C105" s="1" t="n"/>
      <c r="D105" s="1" t="n"/>
      <c r="E105" s="1" t="n"/>
      <c r="F105" s="1" t="n"/>
      <c r="G105" s="1" t="n"/>
      <c r="H105" s="1"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22">
      <c r="A106" s="1" t="n"/>
      <c r="B106" s="1" t="n"/>
      <c r="C106" s="1" t="n"/>
      <c r="D106" s="1" t="n"/>
      <c r="E106" s="1" t="n"/>
      <c r="F106" s="1" t="n"/>
      <c r="G106" s="1" t="n"/>
      <c r="H106" s="1"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22">
      <c r="A107" s="1" t="n"/>
      <c r="B107" s="1" t="n"/>
      <c r="C107" s="1" t="n"/>
      <c r="D107" s="1" t="n"/>
      <c r="E107" s="1" t="n"/>
      <c r="F107" s="1" t="n"/>
      <c r="G107" s="1" t="n"/>
      <c r="H107" s="1"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22">
      <c r="A108" s="1" t="n"/>
      <c r="B108" s="1" t="n"/>
      <c r="C108" s="1" t="n"/>
      <c r="D108" s="1" t="n"/>
      <c r="E108" s="1" t="n"/>
      <c r="F108" s="1" t="n"/>
      <c r="G108" s="1" t="n"/>
      <c r="H108" s="1"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22">
      <c r="A109" s="1" t="n"/>
      <c r="B109" s="1" t="n"/>
      <c r="C109" s="1" t="n"/>
      <c r="D109" s="1" t="n"/>
      <c r="E109" s="1" t="n"/>
      <c r="F109" s="1" t="n"/>
      <c r="G109" s="1" t="n"/>
      <c r="H109" s="1"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22">
      <c r="A110" s="1" t="n"/>
      <c r="B110" s="1" t="n"/>
      <c r="C110" s="1" t="n"/>
      <c r="D110" s="1" t="n"/>
      <c r="E110" s="1" t="n"/>
      <c r="F110" s="1" t="n"/>
      <c r="G110" s="1" t="n"/>
      <c r="H110" s="1"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22">
      <c r="A111" s="1" t="n"/>
      <c r="B111" s="1" t="n"/>
      <c r="C111" s="1" t="n"/>
      <c r="D111" s="1" t="n"/>
      <c r="E111" s="1" t="n"/>
      <c r="F111" s="1" t="n"/>
      <c r="G111" s="1" t="n"/>
      <c r="H111" s="1"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22">
      <c r="A112" s="1" t="n"/>
      <c r="B112" s="1" t="n"/>
      <c r="C112" s="1" t="n"/>
      <c r="D112" s="1" t="n"/>
      <c r="E112" s="1" t="n"/>
      <c r="F112" s="1" t="n"/>
      <c r="G112" s="1" t="n"/>
      <c r="H112" s="1"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22">
      <c r="A113" s="1" t="n"/>
      <c r="B113" s="1" t="n"/>
      <c r="C113" s="1" t="n"/>
      <c r="D113" s="1" t="n"/>
      <c r="E113" s="1" t="n"/>
      <c r="F113" s="1" t="n"/>
      <c r="G113" s="1" t="n"/>
      <c r="H113" s="1"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22">
      <c r="A114" s="1" t="n"/>
      <c r="B114" s="1" t="n"/>
      <c r="C114" s="1" t="n"/>
      <c r="D114" s="1" t="n"/>
      <c r="E114" s="1" t="n"/>
      <c r="F114" s="1" t="n"/>
      <c r="G114" s="1" t="n"/>
      <c r="H114" s="1"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22">
      <c r="A115" s="1" t="n"/>
      <c r="B115" s="1" t="n"/>
      <c r="C115" s="1" t="n"/>
      <c r="D115" s="1" t="n"/>
      <c r="E115" s="1" t="n"/>
      <c r="F115" s="1" t="n"/>
      <c r="G115" s="1" t="n"/>
      <c r="H115" s="1"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22">
      <c r="A116" s="1" t="n"/>
      <c r="B116" s="1" t="n"/>
      <c r="C116" s="1" t="n"/>
      <c r="D116" s="1" t="n"/>
      <c r="E116" s="1" t="n"/>
      <c r="F116" s="1" t="n"/>
      <c r="G116" s="1" t="n"/>
      <c r="H116" s="1"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22">
      <c r="A117" s="1" t="n"/>
      <c r="B117" s="1" t="n"/>
      <c r="C117" s="1" t="n"/>
      <c r="D117" s="1" t="n"/>
      <c r="E117" s="1" t="n"/>
      <c r="F117" s="1" t="n"/>
      <c r="G117" s="1" t="n"/>
      <c r="H117" s="1"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22">
      <c r="A118" s="1" t="n"/>
      <c r="B118" s="1" t="n"/>
      <c r="C118" s="1" t="n"/>
      <c r="D118" s="1" t="n"/>
      <c r="E118" s="1" t="n"/>
      <c r="F118" s="1" t="n"/>
      <c r="G118" s="1" t="n"/>
      <c r="H118" s="1"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22">
      <c r="A119" s="1" t="n"/>
      <c r="B119" s="1" t="n"/>
      <c r="C119" s="1" t="n"/>
      <c r="D119" s="1" t="n"/>
      <c r="E119" s="1" t="n"/>
      <c r="F119" s="1" t="n"/>
      <c r="G119" s="1" t="n"/>
      <c r="H119" s="1"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22">
      <c r="A120" s="1" t="n"/>
      <c r="B120" s="1" t="n"/>
      <c r="C120" s="1" t="n"/>
      <c r="D120" s="1" t="n"/>
      <c r="E120" s="1" t="n"/>
      <c r="F120" s="1" t="n"/>
      <c r="G120" s="1" t="n"/>
      <c r="H120" s="1"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22">
      <c r="A121" s="1" t="n"/>
      <c r="B121" s="1" t="n"/>
      <c r="C121" s="1" t="n"/>
      <c r="D121" s="1" t="n"/>
      <c r="E121" s="1" t="n"/>
      <c r="F121" s="1" t="n"/>
      <c r="G121" s="1" t="n"/>
      <c r="H121" s="1"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22">
      <c r="A122" s="1" t="n"/>
      <c r="B122" s="1" t="n"/>
      <c r="C122" s="1" t="n"/>
      <c r="D122" s="1" t="n"/>
      <c r="E122" s="1" t="n"/>
      <c r="F122" s="1" t="n"/>
      <c r="G122" s="1" t="n"/>
      <c r="H122" s="1"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22">
      <c r="A123" s="1" t="n"/>
      <c r="B123" s="1" t="n"/>
      <c r="C123" s="1" t="n"/>
      <c r="D123" s="1" t="n"/>
      <c r="E123" s="1" t="n"/>
      <c r="F123" s="1" t="n"/>
      <c r="G123" s="1" t="n"/>
      <c r="H123" s="1"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22">
      <c r="A124" s="1" t="n"/>
      <c r="B124" s="1" t="n"/>
      <c r="C124" s="1" t="n"/>
      <c r="D124" s="1" t="n"/>
      <c r="E124" s="1" t="n"/>
      <c r="F124" s="1" t="n"/>
      <c r="G124" s="1" t="n"/>
      <c r="H124" s="1"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22">
      <c r="A125" s="1" t="n"/>
      <c r="B125" s="1" t="n"/>
      <c r="C125" s="1" t="n"/>
      <c r="D125" s="1" t="n"/>
      <c r="E125" s="1" t="n"/>
      <c r="F125" s="1" t="n"/>
      <c r="G125" s="1" t="n"/>
      <c r="H125" s="1"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22">
      <c r="A126" s="1" t="n"/>
      <c r="B126" s="1" t="n"/>
      <c r="C126" s="1" t="n"/>
      <c r="D126" s="1" t="n"/>
      <c r="E126" s="1" t="n"/>
      <c r="F126" s="1" t="n"/>
      <c r="G126" s="1" t="n"/>
      <c r="H126" s="1"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22">
      <c r="A127" s="1" t="n"/>
      <c r="B127" s="1" t="n"/>
      <c r="C127" s="1" t="n"/>
      <c r="D127" s="1" t="n"/>
      <c r="E127" s="1" t="n"/>
      <c r="F127" s="1" t="n"/>
      <c r="G127" s="1" t="n"/>
      <c r="H127" s="1"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22">
      <c r="A128" s="1" t="n"/>
      <c r="B128" s="1" t="n"/>
      <c r="C128" s="1" t="n"/>
      <c r="D128" s="1" t="n"/>
      <c r="E128" s="1" t="n"/>
      <c r="F128" s="1" t="n"/>
      <c r="G128" s="1" t="n"/>
      <c r="H128" s="1"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22">
      <c r="A129" s="1" t="n"/>
      <c r="B129" s="1" t="n"/>
      <c r="C129" s="1" t="n"/>
      <c r="D129" s="1" t="n"/>
      <c r="E129" s="1" t="n"/>
      <c r="F129" s="1" t="n"/>
      <c r="G129" s="1" t="n"/>
      <c r="H129" s="1"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22">
      <c r="A130" s="1" t="n"/>
      <c r="B130" s="1" t="n"/>
      <c r="C130" s="1" t="n"/>
      <c r="D130" s="1" t="n"/>
      <c r="E130" s="1" t="n"/>
      <c r="F130" s="1" t="n"/>
      <c r="G130" s="1" t="n"/>
      <c r="H130" s="1"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22">
      <c r="A131" s="1" t="n"/>
      <c r="B131" s="1" t="n"/>
      <c r="C131" s="1" t="n"/>
      <c r="D131" s="1" t="n"/>
      <c r="E131" s="1" t="n"/>
      <c r="F131" s="1" t="n"/>
      <c r="G131" s="1" t="n"/>
      <c r="H131" s="1"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22">
      <c r="A132" s="1" t="n"/>
      <c r="B132" s="1" t="n"/>
      <c r="C132" s="1" t="n"/>
      <c r="D132" s="1" t="n"/>
      <c r="E132" s="1" t="n"/>
      <c r="F132" s="1" t="n"/>
      <c r="G132" s="1" t="n"/>
      <c r="H132" s="1"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22">
      <c r="A133" s="1" t="n"/>
      <c r="B133" s="1" t="n"/>
      <c r="C133" s="1" t="n"/>
      <c r="D133" s="1" t="n"/>
      <c r="E133" s="1" t="n"/>
      <c r="F133" s="1" t="n"/>
      <c r="G133" s="1" t="n"/>
      <c r="H133" s="1"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22">
      <c r="A134" s="1" t="n"/>
      <c r="B134" s="1" t="n"/>
      <c r="C134" s="1" t="n"/>
      <c r="D134" s="1" t="n"/>
      <c r="E134" s="1" t="n"/>
      <c r="F134" s="1" t="n"/>
      <c r="G134" s="1" t="n"/>
      <c r="H134" s="1"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22">
      <c r="A135" s="1" t="n"/>
      <c r="B135" s="1" t="n"/>
      <c r="C135" s="1" t="n"/>
      <c r="D135" s="1" t="n"/>
      <c r="E135" s="1" t="n"/>
      <c r="F135" s="1" t="n"/>
      <c r="G135" s="1" t="n"/>
      <c r="H135" s="1"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22">
      <c r="A136" s="1" t="n"/>
      <c r="B136" s="1" t="n"/>
      <c r="C136" s="1" t="n"/>
      <c r="D136" s="1" t="n"/>
      <c r="E136" s="1" t="n"/>
      <c r="F136" s="1" t="n"/>
      <c r="G136" s="1" t="n"/>
      <c r="H136" s="1"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22">
      <c r="A137" s="1" t="n"/>
      <c r="B137" s="1" t="n"/>
      <c r="C137" s="1" t="n"/>
      <c r="D137" s="1" t="n"/>
      <c r="E137" s="1" t="n"/>
      <c r="F137" s="1" t="n"/>
      <c r="G137" s="1" t="n"/>
      <c r="H137" s="1"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22">
      <c r="A138" s="1" t="n"/>
      <c r="B138" s="1" t="n"/>
      <c r="C138" s="1" t="n"/>
      <c r="D138" s="1" t="n"/>
      <c r="E138" s="1" t="n"/>
      <c r="F138" s="1" t="n"/>
      <c r="G138" s="1" t="n"/>
      <c r="H138" s="1"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22">
      <c r="A139" s="1" t="n"/>
      <c r="B139" s="1" t="n"/>
      <c r="C139" s="1" t="n"/>
      <c r="D139" s="1" t="n"/>
      <c r="E139" s="1" t="n"/>
      <c r="F139" s="1" t="n"/>
      <c r="G139" s="1" t="n"/>
      <c r="H139" s="1"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22">
      <c r="A140" s="1" t="n"/>
      <c r="B140" s="1" t="n"/>
      <c r="C140" s="1" t="n"/>
      <c r="D140" s="1" t="n"/>
      <c r="E140" s="1" t="n"/>
      <c r="F140" s="1" t="n"/>
      <c r="G140" s="1" t="n"/>
      <c r="H140" s="1"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22">
      <c r="A141" s="1" t="n"/>
      <c r="B141" s="1" t="n"/>
      <c r="C141" s="1" t="n"/>
      <c r="D141" s="1" t="n"/>
      <c r="E141" s="1" t="n"/>
      <c r="F141" s="1" t="n"/>
      <c r="G141" s="1" t="n"/>
      <c r="H141" s="1"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22">
      <c r="A142" s="1" t="n"/>
      <c r="B142" s="1" t="n"/>
      <c r="C142" s="1" t="n"/>
      <c r="D142" s="1" t="n"/>
      <c r="E142" s="1" t="n"/>
      <c r="F142" s="1" t="n"/>
      <c r="G142" s="1" t="n"/>
      <c r="H142" s="1"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22">
      <c r="A143" s="1" t="n"/>
      <c r="B143" s="1" t="n"/>
      <c r="C143" s="1" t="n"/>
      <c r="D143" s="1" t="n"/>
      <c r="E143" s="1" t="n"/>
      <c r="F143" s="1" t="n"/>
      <c r="G143" s="1" t="n"/>
      <c r="H143" s="1"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22">
      <c r="A144" s="1" t="n"/>
      <c r="B144" s="1" t="n"/>
      <c r="C144" s="1" t="n"/>
      <c r="D144" s="1" t="n"/>
      <c r="E144" s="1" t="n"/>
      <c r="F144" s="1" t="n"/>
      <c r="G144" s="1" t="n"/>
      <c r="H144" s="1"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22">
      <c r="A145" s="1" t="n"/>
      <c r="B145" s="1" t="n"/>
      <c r="C145" s="1" t="n"/>
      <c r="D145" s="1" t="n"/>
      <c r="E145" s="1" t="n"/>
      <c r="F145" s="1" t="n"/>
      <c r="G145" s="1" t="n"/>
      <c r="H145" s="1"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22">
      <c r="A146" s="1" t="n"/>
      <c r="B146" s="1" t="n"/>
      <c r="C146" s="1" t="n"/>
      <c r="D146" s="1" t="n"/>
      <c r="E146" s="1" t="n"/>
      <c r="F146" s="1" t="n"/>
      <c r="G146" s="1" t="n"/>
      <c r="H146" s="1"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22">
      <c r="A147" s="1" t="n"/>
      <c r="B147" s="1" t="n"/>
      <c r="C147" s="1" t="n"/>
      <c r="D147" s="1" t="n"/>
      <c r="E147" s="1" t="n"/>
      <c r="F147" s="1" t="n"/>
      <c r="G147" s="1" t="n"/>
      <c r="H147" s="1"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22">
      <c r="A148" s="1" t="n"/>
      <c r="B148" s="1" t="n"/>
      <c r="C148" s="1" t="n"/>
      <c r="D148" s="1" t="n"/>
      <c r="E148" s="1" t="n"/>
      <c r="F148" s="1" t="n"/>
      <c r="G148" s="1" t="n"/>
      <c r="H148" s="1"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22">
      <c r="A149" s="1" t="n"/>
      <c r="B149" s="1" t="n"/>
      <c r="C149" s="1" t="n"/>
      <c r="D149" s="1" t="n"/>
      <c r="E149" s="1" t="n"/>
      <c r="F149" s="1" t="n"/>
      <c r="G149" s="1" t="n"/>
      <c r="H149" s="1"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22">
      <c r="A150" s="1" t="n"/>
      <c r="B150" s="1" t="n"/>
      <c r="C150" s="1" t="n"/>
      <c r="D150" s="1" t="n"/>
      <c r="E150" s="1" t="n"/>
      <c r="F150" s="1" t="n"/>
      <c r="G150" s="1" t="n"/>
      <c r="H150" s="1"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22">
      <c r="A151" s="1" t="n"/>
      <c r="B151" s="1" t="n"/>
      <c r="C151" s="1" t="n"/>
      <c r="D151" s="1" t="n"/>
      <c r="E151" s="1" t="n"/>
      <c r="F151" s="1" t="n"/>
      <c r="G151" s="1" t="n"/>
      <c r="H151" s="1"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22">
      <c r="A152" s="1" t="n"/>
      <c r="B152" s="1" t="n"/>
      <c r="C152" s="1" t="n"/>
      <c r="D152" s="1" t="n"/>
      <c r="E152" s="1" t="n"/>
      <c r="F152" s="1" t="n"/>
      <c r="G152" s="1" t="n"/>
      <c r="H152" s="1"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22">
      <c r="A153" s="1" t="n"/>
      <c r="B153" s="1" t="n"/>
      <c r="C153" s="1" t="n"/>
      <c r="D153" s="1" t="n"/>
      <c r="E153" s="1" t="n"/>
      <c r="F153" s="1" t="n"/>
      <c r="G153" s="1" t="n"/>
      <c r="H153" s="1"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22">
      <c r="A154" s="1" t="n"/>
      <c r="B154" s="1" t="n"/>
      <c r="C154" s="1" t="n"/>
      <c r="D154" s="1" t="n"/>
      <c r="E154" s="1" t="n"/>
      <c r="F154" s="1" t="n"/>
      <c r="G154" s="1" t="n"/>
      <c r="H154" s="1"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22">
      <c r="A155" s="1" t="n"/>
      <c r="B155" s="1" t="n"/>
      <c r="C155" s="1" t="n"/>
      <c r="D155" s="1" t="n"/>
      <c r="E155" s="1" t="n"/>
      <c r="F155" s="1" t="n"/>
      <c r="G155" s="1" t="n"/>
      <c r="H155" s="1"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22">
      <c r="A156" s="1" t="n"/>
      <c r="B156" s="1" t="n"/>
      <c r="C156" s="1" t="n"/>
      <c r="D156" s="1" t="n"/>
      <c r="E156" s="1" t="n"/>
      <c r="F156" s="1" t="n"/>
      <c r="G156" s="1" t="n"/>
      <c r="H156" s="1"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22">
      <c r="A157" s="1" t="n"/>
      <c r="B157" s="1" t="n"/>
      <c r="C157" s="1" t="n"/>
      <c r="D157" s="1" t="n"/>
      <c r="E157" s="1" t="n"/>
      <c r="F157" s="1" t="n"/>
      <c r="G157" s="1" t="n"/>
      <c r="H157" s="1"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22">
      <c r="A158" s="1" t="n"/>
      <c r="B158" s="1" t="n"/>
      <c r="C158" s="1" t="n"/>
      <c r="D158" s="1" t="n"/>
      <c r="E158" s="1" t="n"/>
      <c r="F158" s="1" t="n"/>
      <c r="G158" s="1" t="n"/>
      <c r="H158" s="1"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22">
      <c r="A159" s="1" t="n"/>
      <c r="B159" s="1" t="n"/>
      <c r="C159" s="1" t="n"/>
      <c r="D159" s="1" t="n"/>
      <c r="E159" s="1" t="n"/>
      <c r="F159" s="1" t="n"/>
      <c r="G159" s="1" t="n"/>
      <c r="H159" s="1"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22">
      <c r="A160" s="1" t="n"/>
      <c r="B160" s="1" t="n"/>
      <c r="C160" s="1" t="n"/>
      <c r="D160" s="1" t="n"/>
      <c r="E160" s="1" t="n"/>
      <c r="F160" s="1" t="n"/>
      <c r="G160" s="1" t="n"/>
      <c r="H160" s="1"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22">
      <c r="A161" s="1" t="n"/>
      <c r="B161" s="1" t="n"/>
      <c r="C161" s="1" t="n"/>
      <c r="D161" s="1" t="n"/>
      <c r="E161" s="1" t="n"/>
      <c r="F161" s="1" t="n"/>
      <c r="G161" s="1" t="n"/>
      <c r="H161" s="1"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22">
      <c r="A162" s="1" t="n"/>
      <c r="B162" s="1" t="n"/>
      <c r="C162" s="1" t="n"/>
      <c r="D162" s="1" t="n"/>
      <c r="E162" s="1" t="n"/>
      <c r="F162" s="1" t="n"/>
      <c r="G162" s="1" t="n"/>
      <c r="H162" s="1"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22">
      <c r="A163" s="1" t="n"/>
      <c r="B163" s="1" t="n"/>
      <c r="C163" s="1" t="n"/>
      <c r="D163" s="1" t="n"/>
      <c r="E163" s="1" t="n"/>
      <c r="F163" s="1" t="n"/>
      <c r="G163" s="1" t="n"/>
      <c r="H163" s="1"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22">
      <c r="A164" s="1" t="n"/>
      <c r="B164" s="1" t="n"/>
      <c r="C164" s="1" t="n"/>
      <c r="D164" s="1" t="n"/>
      <c r="E164" s="1" t="n"/>
      <c r="F164" s="1" t="n"/>
      <c r="G164" s="1" t="n"/>
      <c r="H164" s="1"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22">
      <c r="A165" s="1" t="n"/>
      <c r="B165" s="1" t="n"/>
      <c r="C165" s="1" t="n"/>
      <c r="D165" s="1" t="n"/>
      <c r="E165" s="1" t="n"/>
      <c r="F165" s="1" t="n"/>
      <c r="G165" s="1" t="n"/>
      <c r="H165" s="1"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22">
      <c r="A166" s="1" t="n"/>
      <c r="B166" s="1" t="n"/>
      <c r="C166" s="1" t="n"/>
      <c r="D166" s="1" t="n"/>
      <c r="E166" s="1" t="n"/>
      <c r="F166" s="1" t="n"/>
      <c r="G166" s="1" t="n"/>
      <c r="H166" s="1"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22">
      <c r="A167" s="1" t="n"/>
      <c r="B167" s="1" t="n"/>
      <c r="C167" s="1" t="n"/>
      <c r="D167" s="1" t="n"/>
      <c r="E167" s="1" t="n"/>
      <c r="F167" s="1" t="n"/>
      <c r="G167" s="1" t="n"/>
      <c r="H167" s="1"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22">
      <c r="A168" s="1" t="n"/>
      <c r="B168" s="1" t="n"/>
      <c r="C168" s="1" t="n"/>
      <c r="D168" s="1" t="n"/>
      <c r="E168" s="1" t="n"/>
      <c r="F168" s="1" t="n"/>
      <c r="G168" s="1" t="n"/>
      <c r="H168" s="1"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22">
      <c r="A169" s="1" t="n"/>
      <c r="B169" s="1" t="n"/>
      <c r="C169" s="1" t="n"/>
      <c r="D169" s="1" t="n"/>
      <c r="E169" s="1" t="n"/>
      <c r="F169" s="1" t="n"/>
      <c r="G169" s="1" t="n"/>
      <c r="H169" s="1"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22">
      <c r="A170" s="1" t="n"/>
      <c r="B170" s="1" t="n"/>
      <c r="C170" s="1" t="n"/>
      <c r="D170" s="1" t="n"/>
      <c r="E170" s="1" t="n"/>
      <c r="F170" s="1" t="n"/>
      <c r="G170" s="1" t="n"/>
      <c r="H170" s="1"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22">
      <c r="A171" s="1" t="n"/>
      <c r="B171" s="1" t="n"/>
      <c r="C171" s="1" t="n"/>
      <c r="D171" s="1" t="n"/>
      <c r="E171" s="1" t="n"/>
      <c r="F171" s="1" t="n"/>
      <c r="G171" s="1" t="n"/>
      <c r="H171" s="1"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22">
      <c r="A172" s="1" t="n"/>
      <c r="B172" s="1" t="n"/>
      <c r="C172" s="1" t="n"/>
      <c r="D172" s="1" t="n"/>
      <c r="E172" s="1" t="n"/>
      <c r="F172" s="1" t="n"/>
      <c r="G172" s="1" t="n"/>
      <c r="H172" s="1"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22">
      <c r="A173" s="1" t="n"/>
      <c r="B173" s="1" t="n"/>
      <c r="C173" s="1" t="n"/>
      <c r="D173" s="1" t="n"/>
      <c r="E173" s="1" t="n"/>
      <c r="F173" s="1" t="n"/>
      <c r="G173" s="1" t="n"/>
      <c r="H173" s="1"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22">
      <c r="A174" s="1" t="n"/>
      <c r="B174" s="1" t="n"/>
      <c r="C174" s="1" t="n"/>
      <c r="D174" s="1" t="n"/>
      <c r="E174" s="1" t="n"/>
      <c r="F174" s="1" t="n"/>
      <c r="G174" s="1" t="n"/>
      <c r="H174" s="1"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22">
      <c r="A175" s="1" t="n"/>
      <c r="B175" s="1" t="n"/>
      <c r="C175" s="1" t="n"/>
      <c r="D175" s="1" t="n"/>
      <c r="E175" s="1" t="n"/>
      <c r="F175" s="1" t="n"/>
      <c r="G175" s="1" t="n"/>
      <c r="H175" s="1"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22">
      <c r="A176" s="1" t="n"/>
      <c r="B176" s="1" t="n"/>
      <c r="C176" s="1" t="n"/>
      <c r="D176" s="1" t="n"/>
      <c r="E176" s="1" t="n"/>
      <c r="F176" s="1" t="n"/>
      <c r="G176" s="1" t="n"/>
      <c r="H176" s="1"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22">
      <c r="A177" s="1" t="n"/>
      <c r="B177" s="1" t="n"/>
      <c r="C177" s="1" t="n"/>
      <c r="D177" s="1" t="n"/>
      <c r="E177" s="1" t="n"/>
      <c r="F177" s="1" t="n"/>
      <c r="G177" s="1" t="n"/>
      <c r="H177" s="1"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22">
      <c r="A178" s="1" t="n"/>
      <c r="B178" s="1" t="n"/>
      <c r="C178" s="1" t="n"/>
      <c r="D178" s="1" t="n"/>
      <c r="E178" s="1" t="n"/>
      <c r="F178" s="1" t="n"/>
      <c r="G178" s="1" t="n"/>
      <c r="H178" s="1"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22">
      <c r="A179" s="1" t="n"/>
      <c r="B179" s="1" t="n"/>
      <c r="C179" s="1" t="n"/>
      <c r="D179" s="1" t="n"/>
      <c r="E179" s="1" t="n"/>
      <c r="F179" s="1" t="n"/>
      <c r="G179" s="1" t="n"/>
      <c r="H179" s="1"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22">
      <c r="A180" s="1" t="n"/>
      <c r="B180" s="1" t="n"/>
      <c r="C180" s="1" t="n"/>
      <c r="D180" s="1" t="n"/>
      <c r="E180" s="1" t="n"/>
      <c r="F180" s="1" t="n"/>
      <c r="G180" s="1" t="n"/>
      <c r="H180" s="1"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22">
      <c r="A181" s="1" t="n"/>
      <c r="B181" s="1" t="n"/>
      <c r="C181" s="1" t="n"/>
      <c r="D181" s="1" t="n"/>
      <c r="E181" s="1" t="n"/>
      <c r="F181" s="1" t="n"/>
      <c r="G181" s="1" t="n"/>
      <c r="H181" s="1"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22">
      <c r="A182" s="1" t="n"/>
      <c r="B182" s="1" t="n"/>
      <c r="C182" s="1" t="n"/>
      <c r="D182" s="1" t="n"/>
      <c r="E182" s="1" t="n"/>
      <c r="F182" s="1" t="n"/>
      <c r="G182" s="1" t="n"/>
      <c r="H182" s="1"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22">
      <c r="A183" s="1" t="n"/>
      <c r="B183" s="1" t="n"/>
      <c r="C183" s="1" t="n"/>
      <c r="D183" s="1" t="n"/>
      <c r="E183" s="1" t="n"/>
      <c r="F183" s="1" t="n"/>
      <c r="G183" s="1" t="n"/>
      <c r="H183" s="1"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22">
      <c r="A184" s="1" t="n"/>
      <c r="B184" s="1" t="n"/>
      <c r="C184" s="1" t="n"/>
      <c r="D184" s="1" t="n"/>
      <c r="E184" s="1" t="n"/>
      <c r="F184" s="1" t="n"/>
      <c r="G184" s="1" t="n"/>
      <c r="H184" s="1"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22">
      <c r="A185" s="1" t="n"/>
      <c r="B185" s="1" t="n"/>
      <c r="C185" s="1" t="n"/>
      <c r="D185" s="1" t="n"/>
      <c r="E185" s="1" t="n"/>
      <c r="F185" s="1" t="n"/>
      <c r="G185" s="1" t="n"/>
      <c r="H185" s="1"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22">
      <c r="A186" s="1" t="n"/>
      <c r="B186" s="1" t="n"/>
      <c r="C186" s="1" t="n"/>
      <c r="D186" s="1" t="n"/>
      <c r="E186" s="1" t="n"/>
      <c r="F186" s="1" t="n"/>
      <c r="G186" s="1" t="n"/>
      <c r="H186" s="1"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22">
      <c r="A187" s="1" t="n"/>
      <c r="B187" s="1" t="n"/>
      <c r="C187" s="1" t="n"/>
      <c r="D187" s="1" t="n"/>
      <c r="E187" s="1" t="n"/>
      <c r="F187" s="1" t="n"/>
      <c r="G187" s="1" t="n"/>
      <c r="H187" s="1"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22">
      <c r="A188" s="1" t="n"/>
      <c r="B188" s="1" t="n"/>
      <c r="C188" s="1" t="n"/>
      <c r="D188" s="1" t="n"/>
      <c r="E188" s="1" t="n"/>
      <c r="F188" s="1" t="n"/>
      <c r="G188" s="1" t="n"/>
      <c r="H188" s="1"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22">
      <c r="A189" s="1" t="n"/>
      <c r="B189" s="1" t="n"/>
      <c r="C189" s="1" t="n"/>
      <c r="D189" s="1" t="n"/>
      <c r="E189" s="1" t="n"/>
      <c r="F189" s="1" t="n"/>
      <c r="G189" s="1" t="n"/>
      <c r="H189" s="1"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22">
      <c r="A190" s="1" t="n"/>
      <c r="B190" s="1" t="n"/>
      <c r="C190" s="1" t="n"/>
      <c r="D190" s="1" t="n"/>
      <c r="E190" s="1" t="n"/>
      <c r="F190" s="1" t="n"/>
      <c r="G190" s="1" t="n"/>
      <c r="H190" s="1"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22">
      <c r="A191" s="1" t="n"/>
      <c r="B191" s="1" t="n"/>
      <c r="C191" s="1" t="n"/>
      <c r="D191" s="1" t="n"/>
      <c r="E191" s="1" t="n"/>
      <c r="F191" s="1" t="n"/>
      <c r="G191" s="1" t="n"/>
      <c r="H191" s="1"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22">
      <c r="A192" s="1" t="n"/>
      <c r="B192" s="1" t="n"/>
      <c r="C192" s="1" t="n"/>
      <c r="D192" s="1" t="n"/>
      <c r="E192" s="1" t="n"/>
      <c r="F192" s="1" t="n"/>
      <c r="G192" s="1" t="n"/>
      <c r="H192" s="1"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22">
      <c r="A193" s="1" t="n"/>
      <c r="B193" s="1" t="n"/>
      <c r="C193" s="1" t="n"/>
      <c r="D193" s="1" t="n"/>
      <c r="E193" s="1" t="n"/>
      <c r="F193" s="1" t="n"/>
      <c r="G193" s="1" t="n"/>
      <c r="H193" s="1"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22">
      <c r="A194" s="1" t="n"/>
      <c r="B194" s="1" t="n"/>
      <c r="C194" s="1" t="n"/>
      <c r="D194" s="1" t="n"/>
      <c r="E194" s="1" t="n"/>
      <c r="F194" s="1" t="n"/>
      <c r="G194" s="1" t="n"/>
      <c r="H194" s="1"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22">
      <c r="A195" s="1" t="n"/>
      <c r="B195" s="1" t="n"/>
      <c r="C195" s="1" t="n"/>
      <c r="D195" s="1" t="n"/>
      <c r="E195" s="1" t="n"/>
      <c r="F195" s="1" t="n"/>
      <c r="G195" s="1" t="n"/>
      <c r="H195" s="1"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22">
      <c r="A196" s="1" t="n"/>
      <c r="B196" s="1" t="n"/>
      <c r="C196" s="1" t="n"/>
      <c r="D196" s="1" t="n"/>
      <c r="E196" s="1" t="n"/>
      <c r="F196" s="1" t="n"/>
      <c r="G196" s="1" t="n"/>
      <c r="H196" s="1"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22">
      <c r="A197" s="1" t="n"/>
      <c r="B197" s="1" t="n"/>
      <c r="C197" s="1" t="n"/>
      <c r="D197" s="1" t="n"/>
      <c r="E197" s="1" t="n"/>
      <c r="F197" s="1" t="n"/>
      <c r="G197" s="1" t="n"/>
      <c r="H197" s="1"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22">
      <c r="A198" s="1" t="n"/>
      <c r="B198" s="1" t="n"/>
      <c r="C198" s="1" t="n"/>
      <c r="D198" s="1" t="n"/>
      <c r="E198" s="1" t="n"/>
      <c r="F198" s="1" t="n"/>
      <c r="G198" s="1" t="n"/>
      <c r="H198" s="1"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22">
      <c r="A199" s="1" t="n"/>
      <c r="B199" s="1" t="n"/>
      <c r="C199" s="1" t="n"/>
      <c r="D199" s="1" t="n"/>
      <c r="E199" s="1" t="n"/>
      <c r="F199" s="1" t="n"/>
      <c r="G199" s="1" t="n"/>
      <c r="H199" s="1"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22">
      <c r="A200" s="1" t="n"/>
      <c r="B200" s="1" t="n"/>
      <c r="C200" s="1" t="n"/>
      <c r="D200" s="1" t="n"/>
      <c r="E200" s="1" t="n"/>
      <c r="F200" s="1" t="n"/>
      <c r="G200" s="1" t="n"/>
      <c r="H200" s="1"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22">
      <c r="A201" s="1" t="n"/>
      <c r="B201" s="1" t="n"/>
      <c r="C201" s="1" t="n"/>
      <c r="D201" s="1" t="n"/>
      <c r="E201" s="1" t="n"/>
      <c r="F201" s="1" t="n"/>
      <c r="G201" s="1" t="n"/>
      <c r="H201" s="1"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22">
      <c r="A202" s="1" t="n"/>
      <c r="B202" s="1" t="n"/>
      <c r="C202" s="1" t="n"/>
      <c r="D202" s="1" t="n"/>
      <c r="E202" s="1" t="n"/>
      <c r="F202" s="1" t="n"/>
      <c r="G202" s="1" t="n"/>
      <c r="H202" s="1"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22">
      <c r="A203" s="1" t="n"/>
      <c r="B203" s="1" t="n"/>
      <c r="C203" s="1" t="n"/>
      <c r="D203" s="1" t="n"/>
      <c r="E203" s="1" t="n"/>
      <c r="F203" s="1" t="n"/>
      <c r="G203" s="1" t="n"/>
      <c r="H203" s="1"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22">
      <c r="A204" s="1" t="n"/>
      <c r="B204" s="1" t="n"/>
      <c r="C204" s="1" t="n"/>
      <c r="D204" s="1" t="n"/>
      <c r="E204" s="1" t="n"/>
      <c r="F204" s="1" t="n"/>
      <c r="G204" s="1" t="n"/>
      <c r="H204" s="1"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22">
      <c r="A205" s="1" t="n"/>
      <c r="B205" s="1" t="n"/>
      <c r="C205" s="1" t="n"/>
      <c r="D205" s="1" t="n"/>
      <c r="E205" s="1" t="n"/>
      <c r="F205" s="1" t="n"/>
      <c r="G205" s="1" t="n"/>
      <c r="H205" s="1"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22">
      <c r="A206" s="1" t="n"/>
      <c r="B206" s="1" t="n"/>
      <c r="C206" s="1" t="n"/>
      <c r="D206" s="1" t="n"/>
      <c r="E206" s="1" t="n"/>
      <c r="F206" s="1" t="n"/>
      <c r="G206" s="1" t="n"/>
      <c r="H206" s="1"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22">
      <c r="A207" s="1" t="n"/>
      <c r="B207" s="1" t="n"/>
      <c r="C207" s="1" t="n"/>
      <c r="D207" s="1" t="n"/>
      <c r="E207" s="1" t="n"/>
      <c r="F207" s="1" t="n"/>
      <c r="G207" s="1" t="n"/>
      <c r="H207" s="1"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22">
      <c r="A208" s="1" t="n"/>
      <c r="B208" s="1" t="n"/>
      <c r="C208" s="1" t="n"/>
      <c r="D208" s="1" t="n"/>
      <c r="E208" s="1" t="n"/>
      <c r="F208" s="1" t="n"/>
      <c r="G208" s="1" t="n"/>
      <c r="H208" s="1"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22">
      <c r="A209" s="1" t="n"/>
      <c r="B209" s="1" t="n"/>
      <c r="C209" s="1" t="n"/>
      <c r="D209" s="1" t="n"/>
      <c r="E209" s="1" t="n"/>
      <c r="F209" s="1" t="n"/>
      <c r="G209" s="1" t="n"/>
      <c r="H209" s="1"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22">
      <c r="A210" s="1" t="n"/>
      <c r="B210" s="1" t="n"/>
      <c r="C210" s="1" t="n"/>
      <c r="D210" s="1" t="n"/>
      <c r="E210" s="1" t="n"/>
      <c r="F210" s="1" t="n"/>
      <c r="G210" s="1" t="n"/>
      <c r="H210" s="1"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22">
      <c r="A211" s="1" t="n"/>
      <c r="B211" s="1" t="n"/>
      <c r="C211" s="1" t="n"/>
      <c r="D211" s="1" t="n"/>
      <c r="E211" s="1" t="n"/>
      <c r="F211" s="1" t="n"/>
      <c r="G211" s="1" t="n"/>
      <c r="H211" s="1"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22">
      <c r="A212" s="1" t="n"/>
      <c r="B212" s="1" t="n"/>
      <c r="C212" s="1" t="n"/>
      <c r="D212" s="1" t="n"/>
      <c r="E212" s="1" t="n"/>
      <c r="F212" s="1" t="n"/>
      <c r="G212" s="1" t="n"/>
      <c r="H212" s="1"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22">
      <c r="A213" s="1" t="n"/>
      <c r="B213" s="1" t="n"/>
      <c r="C213" s="1" t="n"/>
      <c r="D213" s="1" t="n"/>
      <c r="E213" s="1" t="n"/>
      <c r="F213" s="1" t="n"/>
      <c r="G213" s="1" t="n"/>
      <c r="H213" s="1"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22">
      <c r="A214" s="1" t="n"/>
      <c r="B214" s="1" t="n"/>
      <c r="C214" s="1" t="n"/>
      <c r="D214" s="1" t="n"/>
      <c r="E214" s="1" t="n"/>
      <c r="F214" s="1" t="n"/>
      <c r="G214" s="1" t="n"/>
      <c r="H214" s="1"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22">
      <c r="A215" s="1" t="n"/>
      <c r="B215" s="1" t="n"/>
      <c r="C215" s="1" t="n"/>
      <c r="D215" s="1" t="n"/>
      <c r="E215" s="1" t="n"/>
      <c r="F215" s="1" t="n"/>
      <c r="G215" s="1" t="n"/>
      <c r="H215" s="1"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22">
      <c r="A216" s="1" t="n"/>
      <c r="B216" s="1" t="n"/>
      <c r="C216" s="1" t="n"/>
      <c r="D216" s="1" t="n"/>
      <c r="E216" s="1" t="n"/>
      <c r="F216" s="1" t="n"/>
      <c r="G216" s="1" t="n"/>
      <c r="H216" s="1"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22">
      <c r="A217" s="1" t="n"/>
      <c r="B217" s="1" t="n"/>
      <c r="C217" s="1" t="n"/>
      <c r="D217" s="1" t="n"/>
      <c r="E217" s="1" t="n"/>
      <c r="F217" s="1" t="n"/>
      <c r="G217" s="1" t="n"/>
      <c r="H217" s="1"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22">
      <c r="A218" s="1" t="n"/>
      <c r="B218" s="1" t="n"/>
      <c r="C218" s="1" t="n"/>
      <c r="D218" s="1" t="n"/>
      <c r="E218" s="1" t="n"/>
      <c r="F218" s="1" t="n"/>
      <c r="G218" s="1" t="n"/>
      <c r="H218" s="1"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22">
      <c r="A219" s="1" t="n"/>
      <c r="B219" s="1" t="n"/>
      <c r="C219" s="1" t="n"/>
      <c r="D219" s="1" t="n"/>
      <c r="E219" s="1" t="n"/>
      <c r="F219" s="1" t="n"/>
      <c r="G219" s="1" t="n"/>
      <c r="H219" s="1"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22">
      <c r="A220" s="1" t="n"/>
      <c r="B220" s="1" t="n"/>
      <c r="C220" s="1" t="n"/>
      <c r="D220" s="1" t="n"/>
      <c r="E220" s="1" t="n"/>
      <c r="F220" s="1" t="n"/>
      <c r="G220" s="1" t="n"/>
      <c r="H220" s="1"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22">
      <c r="A221" s="1" t="n"/>
      <c r="B221" s="1" t="n"/>
      <c r="C221" s="1" t="n"/>
      <c r="D221" s="1" t="n"/>
      <c r="E221" s="1" t="n"/>
      <c r="F221" s="1" t="n"/>
      <c r="G221" s="1" t="n"/>
      <c r="H221" s="1"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22">
      <c r="A222" s="1" t="n"/>
      <c r="B222" s="1" t="n"/>
      <c r="C222" s="1" t="n"/>
      <c r="D222" s="1" t="n"/>
      <c r="E222" s="1" t="n"/>
      <c r="F222" s="1" t="n"/>
      <c r="G222" s="1" t="n"/>
      <c r="H222" s="1"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22">
      <c r="A223" s="1" t="n"/>
      <c r="B223" s="1" t="n"/>
      <c r="C223" s="1" t="n"/>
      <c r="D223" s="1" t="n"/>
      <c r="E223" s="1" t="n"/>
      <c r="F223" s="1" t="n"/>
      <c r="G223" s="1" t="n"/>
      <c r="H223" s="1"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22">
      <c r="A224" s="1" t="n"/>
      <c r="B224" s="1" t="n"/>
      <c r="C224" s="1" t="n"/>
      <c r="D224" s="1" t="n"/>
      <c r="E224" s="1" t="n"/>
      <c r="F224" s="1" t="n"/>
      <c r="G224" s="1" t="n"/>
      <c r="H224" s="1"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22">
      <c r="A225" s="1" t="n"/>
      <c r="B225" s="1" t="n"/>
      <c r="C225" s="1" t="n"/>
      <c r="D225" s="1" t="n"/>
      <c r="E225" s="1" t="n"/>
      <c r="F225" s="1" t="n"/>
      <c r="G225" s="1" t="n"/>
      <c r="H225" s="1"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22">
      <c r="A226" s="1" t="n"/>
      <c r="B226" s="1" t="n"/>
      <c r="C226" s="1" t="n"/>
      <c r="D226" s="1" t="n"/>
      <c r="E226" s="1" t="n"/>
      <c r="F226" s="1" t="n"/>
      <c r="G226" s="1" t="n"/>
      <c r="H226" s="1"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22">
      <c r="A227" s="1" t="n"/>
      <c r="B227" s="1" t="n"/>
      <c r="C227" s="1" t="n"/>
      <c r="D227" s="1" t="n"/>
      <c r="E227" s="1" t="n"/>
      <c r="F227" s="1" t="n"/>
      <c r="G227" s="1" t="n"/>
      <c r="H227" s="1"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22">
      <c r="A228" s="4" t="n"/>
      <c r="B228" s="4" t="n"/>
      <c r="C228" s="4" t="n"/>
      <c r="D228" s="4" t="n"/>
      <c r="E228" s="4" t="n"/>
      <c r="F228" s="4" t="n"/>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22">
      <c r="A229" s="4" t="n"/>
      <c r="B229" s="4" t="n"/>
      <c r="C229" s="4" t="n"/>
      <c r="D229" s="4" t="n"/>
      <c r="E229" s="4"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22">
      <c r="A230" s="4" t="n"/>
      <c r="B230" s="4" t="n"/>
      <c r="C230" s="4" t="n"/>
      <c r="D230" s="4" t="n"/>
      <c r="E230" s="4"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22">
      <c r="A231" s="4" t="n"/>
      <c r="B231" s="4" t="n"/>
      <c r="C231" s="4" t="n"/>
      <c r="D231" s="4" t="n"/>
      <c r="E231" s="4"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22">
      <c r="A232" s="4" t="n"/>
      <c r="B232" s="4" t="n"/>
      <c r="C232" s="4" t="n"/>
      <c r="D232" s="4" t="n"/>
      <c r="E232" s="4"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22">
      <c r="A233" s="4" t="n"/>
      <c r="B233" s="4" t="n"/>
      <c r="C233" s="4" t="n"/>
      <c r="D233" s="4" t="n"/>
      <c r="E233" s="4"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22">
      <c r="A234" s="4" t="n"/>
      <c r="B234" s="4" t="n"/>
      <c r="C234" s="4" t="n"/>
      <c r="D234" s="4" t="n"/>
      <c r="E234" s="4" t="n"/>
      <c r="F234" s="4" t="n"/>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22">
      <c r="A235" s="4" t="n"/>
      <c r="B235" s="4" t="n"/>
      <c r="C235" s="4" t="n"/>
      <c r="D235" s="4" t="n"/>
      <c r="E235" s="4" t="n"/>
      <c r="F235" s="4" t="n"/>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22">
      <c r="A236" s="4" t="n"/>
      <c r="B236" s="4" t="n"/>
      <c r="C236" s="4" t="n"/>
      <c r="D236" s="4" t="n"/>
      <c r="E236" s="4" t="n"/>
      <c r="F236" s="4" t="n"/>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22">
      <c r="A237" s="4" t="n"/>
      <c r="B237" s="4" t="n"/>
      <c r="C237" s="4" t="n"/>
      <c r="D237" s="4" t="n"/>
      <c r="E237" s="4" t="n"/>
      <c r="F237" s="4" t="n"/>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22">
      <c r="A238" s="4" t="n"/>
      <c r="B238" s="4" t="n"/>
      <c r="C238" s="4" t="n"/>
      <c r="D238" s="4" t="n"/>
      <c r="E238" s="4" t="n"/>
      <c r="F238" s="4" t="n"/>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22">
      <c r="A239" s="4" t="n"/>
      <c r="B239" s="4" t="n"/>
      <c r="C239" s="4" t="n"/>
      <c r="D239" s="4" t="n"/>
      <c r="E239" s="4" t="n"/>
      <c r="F239" s="4" t="n"/>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22">
      <c r="A240" s="4" t="n"/>
      <c r="B240" s="4" t="n"/>
      <c r="C240" s="4" t="n"/>
      <c r="D240" s="4" t="n"/>
      <c r="E240" s="4" t="n"/>
      <c r="F240" s="4" t="n"/>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22">
      <c r="A241" s="4" t="n"/>
      <c r="B241" s="4" t="n"/>
      <c r="C241" s="4" t="n"/>
      <c r="D241" s="4" t="n"/>
      <c r="E241" s="4" t="n"/>
      <c r="F241" s="4" t="n"/>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22">
      <c r="A242" s="4" t="n"/>
      <c r="B242" s="4" t="n"/>
      <c r="C242" s="4" t="n"/>
      <c r="D242" s="4" t="n"/>
      <c r="E242" s="4" t="n"/>
      <c r="F242" s="4" t="n"/>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22">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22">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22">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22">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22">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22">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22">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22">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22">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22">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22">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22">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22">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22">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22">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22">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22">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22">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22">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22">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22">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22">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22">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22">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22">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22">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22">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22">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22">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22">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22">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22">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22">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22">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22">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22">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22">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22">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22">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22">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22">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22">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22">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22">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22">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22">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22">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22">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22">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22">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22">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22">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22">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22">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22">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22">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22">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22">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22">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22">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22">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22">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22">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22">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22">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22">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22">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22">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22">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22">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22">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22">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22">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22">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22">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22">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22">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22">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22">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22">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22">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22">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22">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22">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22">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22">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22">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22">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22">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22">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22">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22">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22">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22">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22">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22">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22">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22">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22">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22">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22">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22">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22">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22">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22">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22">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22">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22">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22">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22">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22">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22">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22">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22">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22">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22">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22">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22">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22">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22">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22">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22">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22">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22">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22">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22">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22">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22">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22">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22">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22">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22">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22">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22">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22">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22">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22">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22">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22">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22">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22">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22">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22">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22">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22">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22">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22">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22">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22">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22">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22">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22">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22">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22">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22">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22">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22">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22">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22">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22">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22">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22">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22">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22">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22">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22">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22">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22">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22">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22">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22">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22">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22">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22">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22">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22">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22">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22">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22">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22">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22">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22">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22">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22">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22">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22">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22">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22">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22">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22">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22">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22">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22">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22">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22">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22">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22">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22">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22">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22">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22">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22">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22">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22">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22">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22">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22">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22">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22">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22">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22">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22">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22">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22">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22">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22">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22">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22">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22">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22">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22">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22">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22">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22">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22">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22">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22">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22">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22">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22">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22">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22">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22">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22">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22">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22">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22">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22">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22">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22">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22">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22">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22">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22">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22">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22">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22">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22">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22">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22">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22">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22">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22">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22">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22">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22">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22">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22">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22">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22">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22">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22">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22">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22">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22">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22">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22">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22">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22">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22">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22">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22">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22">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22">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22">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22">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22">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22">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22">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22">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22">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22">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22">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22">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22">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22">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22">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22">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22">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22">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22">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22">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22">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22">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22">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22">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22">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22">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22">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22">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22">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22">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22">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22">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22">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22">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22">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22">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22">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22">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22">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22">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22">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22">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22">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22">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22">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22">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22">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22">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22">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22">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22">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22">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22">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22">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22">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22">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22">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22">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22">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22">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22">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22">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22">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22">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22">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22">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22">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22">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22">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22">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22">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22">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22">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22">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22">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22">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22">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22">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22">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22">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22">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22">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22">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22">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22">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22">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22">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22">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22">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22">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22">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22">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22">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22">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22">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22">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22">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22">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22">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22">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22">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22">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22">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22">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22">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22">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22">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22">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22">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22">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22">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22">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22">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22">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22">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22">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22">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22">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22">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22">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22">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22">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22">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22">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22">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22">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22">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22">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22">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22">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22">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22">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22">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22">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22">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22">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22">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22">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22">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22">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22">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22">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22">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22">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22">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22">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22">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22">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22">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22">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22">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22">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22">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22">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22">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22">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22">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22">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22">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22">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22">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22">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22">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22">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22">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22">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22">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22">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22">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22">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22">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22">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22">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22">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22">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22">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22">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22">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22">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22">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22">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22">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22">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22">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22">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22">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22">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22">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22">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22">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22">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22">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22">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22">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22">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22">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22">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22">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22">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22">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22">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22">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22">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22">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22">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22">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22">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22">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22">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22">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22">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22">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22">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22">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22">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22">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22">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22">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22">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22">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22">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22">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22">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22">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22">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22">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22">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22">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22">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22">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22">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22">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22">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22">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22">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22">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22">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22">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22">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22">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22">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22">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22">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22">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22">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22">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22">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22">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22">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22">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22">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22">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22">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22">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22">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22">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22">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22">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22">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22">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22">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22">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22">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22">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22">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22">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22">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22">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22">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22">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22">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22">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22">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22">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22">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22">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22">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22">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22">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22">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22">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22">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22">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22">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22">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22">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22">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22">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22">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22">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22">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22">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22">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22">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22">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22">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22">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22">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22">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22">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22">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22">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22">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22">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22">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22">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22">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22">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22">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22">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22">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22">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22">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22">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22">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22">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22">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22">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22">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22">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22">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22">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22">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22">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22">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22">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22">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22">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22">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22">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22">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22">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22">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22">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22">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22">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22">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22">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22">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22">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22">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22">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22">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22">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22">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22">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22">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22">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22">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22">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22">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22">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22">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22">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22">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22">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22">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22">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22">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22">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22">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22">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22">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22">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22">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22">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22">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22">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22">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22">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22">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22">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22">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22">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22">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22">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22">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22">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22">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22">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22">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22">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22">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22">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22">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22">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22">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22">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22">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22">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22">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22">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22">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22">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22">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22">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22">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22">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22">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22">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22">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22">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22">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22">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22">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22">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22">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22">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22">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22">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22">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22">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22">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22">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22">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22">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22">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22">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22">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22">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22">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22">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22">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22">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22">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22">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22">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22">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22">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22">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22">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22">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22">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22">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22">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22">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22">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22">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22">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22">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22">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22">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22">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22">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22">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22">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22">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22">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22">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22">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22">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22">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22">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22">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22">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22">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22">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22">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22">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22">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22">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22">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22">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22">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22">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22">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22">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22">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22">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22">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22">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22">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22">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22">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22">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22">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22">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22">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22">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22">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22">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22">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22">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22">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22">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22">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sheetData>
  <mergeCells count="12">
    <mergeCell ref="C25:H25"/>
    <mergeCell ref="C24:H24"/>
    <mergeCell ref="C19:H19"/>
    <mergeCell ref="C28:H28"/>
    <mergeCell ref="C27:H27"/>
    <mergeCell ref="A15:H16"/>
    <mergeCell ref="C22:H22"/>
    <mergeCell ref="C23:H23"/>
    <mergeCell ref="C26:H26"/>
    <mergeCell ref="A5:H6"/>
    <mergeCell ref="C21:H21"/>
    <mergeCell ref="C20:H20"/>
  </mergeCells>
  <pageMargins left="0.75" right="0.75" top="1" bottom="1" header="0" footer="0"/>
  <pageSetup orientation="landscape" paperSize="9" fitToHeight="0"/>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Z1000"/>
  <sheetViews>
    <sheetView workbookViewId="0">
      <pane ySplit="4" topLeftCell="A5" activePane="bottomLeft" state="frozen"/>
      <selection pane="bottomLeft" activeCell="B6" sqref="B6"/>
    </sheetView>
  </sheetViews>
  <sheetFormatPr baseColWidth="8" defaultColWidth="14.43" defaultRowHeight="15" customHeight="1"/>
  <cols>
    <col width="10" customWidth="1" style="22" min="1" max="1"/>
    <col width="52" customWidth="1" style="22" min="2" max="2"/>
    <col width="12" customWidth="1" style="22" min="3" max="3"/>
    <col width="22" customWidth="1" style="22" min="4" max="4"/>
    <col width="13" customWidth="1" style="22" min="5" max="5"/>
    <col width="8.710000000000001" customWidth="1" style="22" min="6" max="7"/>
  </cols>
  <sheetData>
    <row r="1" ht="24" customHeight="1" s="22">
      <c r="A1" s="1" t="n"/>
      <c r="B1" s="1" t="n"/>
      <c r="C1" s="2" t="inlineStr">
        <is>
          <t>Plan de la iteración 1</t>
        </is>
      </c>
      <c r="D1" s="3" t="n"/>
      <c r="E1" s="3" t="n"/>
      <c r="F1" s="3" t="n"/>
      <c r="G1" s="3" t="n"/>
      <c r="H1" s="4" t="n"/>
      <c r="I1" s="4" t="n"/>
      <c r="J1" s="4" t="n"/>
      <c r="K1" s="4" t="n"/>
      <c r="L1" s="4" t="n"/>
      <c r="M1" s="4" t="n"/>
      <c r="N1" s="4" t="n"/>
      <c r="O1" s="4" t="n"/>
      <c r="P1" s="4" t="n"/>
      <c r="Q1" s="4" t="n"/>
      <c r="R1" s="4" t="n"/>
      <c r="S1" s="4" t="n"/>
      <c r="T1" s="4" t="n"/>
      <c r="U1" s="4" t="n"/>
      <c r="V1" s="4" t="n"/>
      <c r="W1" s="4" t="n"/>
      <c r="X1" s="4" t="n"/>
      <c r="Y1" s="4" t="n"/>
      <c r="Z1" s="4" t="n"/>
    </row>
    <row r="2" ht="15" customHeight="1" s="22">
      <c r="A2" s="1" t="n"/>
      <c r="B2" s="1" t="n"/>
      <c r="C2" s="5" t="inlineStr">
        <is>
          <t>App móvil Aprueba - Módulo de Preguntas · Grupo 9 · PTY4614 Capstone, sección 002D</t>
        </is>
      </c>
      <c r="D2" s="3" t="n"/>
      <c r="E2" s="3" t="n"/>
      <c r="F2" s="3" t="n"/>
      <c r="G2" s="3" t="n"/>
      <c r="H2" s="4" t="n"/>
      <c r="I2" s="4" t="n"/>
      <c r="J2" s="4" t="n"/>
      <c r="K2" s="4" t="n"/>
      <c r="L2" s="4" t="n"/>
      <c r="M2" s="4" t="n"/>
      <c r="N2" s="4" t="n"/>
      <c r="O2" s="4" t="n"/>
      <c r="P2" s="4" t="n"/>
      <c r="Q2" s="4" t="n"/>
      <c r="R2" s="4" t="n"/>
      <c r="S2" s="4" t="n"/>
      <c r="T2" s="4" t="n"/>
      <c r="U2" s="4" t="n"/>
      <c r="V2" s="4" t="n"/>
      <c r="W2" s="4" t="n"/>
      <c r="X2" s="4" t="n"/>
      <c r="Y2" s="4" t="n"/>
      <c r="Z2" s="4" t="n"/>
    </row>
    <row r="3" ht="15" customHeight="1" s="22">
      <c r="A3" s="1" t="n"/>
      <c r="B3" s="1" t="n"/>
      <c r="C3" s="5" t="inlineStr">
        <is>
          <t>Metodología: Extreme Programming · Versión 1.8 · 18 de octubre de 2026</t>
        </is>
      </c>
      <c r="D3" s="3" t="n"/>
      <c r="E3" s="3" t="n"/>
      <c r="F3" s="3" t="n"/>
      <c r="G3" s="3" t="n"/>
      <c r="H3" s="4" t="n"/>
      <c r="I3" s="4" t="n"/>
      <c r="J3" s="4" t="n"/>
      <c r="K3" s="4" t="n"/>
      <c r="L3" s="4" t="n"/>
      <c r="M3" s="4" t="n"/>
      <c r="N3" s="4" t="n"/>
      <c r="O3" s="4" t="n"/>
      <c r="P3" s="4" t="n"/>
      <c r="Q3" s="4" t="n"/>
      <c r="R3" s="4" t="n"/>
      <c r="S3" s="4" t="n"/>
      <c r="T3" s="4" t="n"/>
      <c r="U3" s="4" t="n"/>
      <c r="V3" s="4" t="n"/>
      <c r="W3" s="4" t="n"/>
      <c r="X3" s="4" t="n"/>
      <c r="Y3" s="4" t="n"/>
      <c r="Z3" s="4" t="n"/>
    </row>
    <row r="4" ht="15" customHeight="1" s="22">
      <c r="A4" s="1" t="n"/>
      <c r="B4" s="1" t="n"/>
      <c r="C4" s="7" t="n"/>
      <c r="D4" s="1" t="n"/>
      <c r="E4" s="1" t="n"/>
      <c r="F4" s="4" t="n"/>
      <c r="G4" s="4" t="n"/>
      <c r="H4" s="4" t="n"/>
      <c r="I4" s="4" t="n"/>
      <c r="J4" s="4" t="n"/>
      <c r="K4" s="4" t="n"/>
      <c r="L4" s="4" t="n"/>
      <c r="M4" s="4" t="n"/>
      <c r="N4" s="4" t="n"/>
      <c r="O4" s="4" t="n"/>
      <c r="P4" s="4" t="n"/>
      <c r="Q4" s="4" t="n"/>
      <c r="R4" s="4" t="n"/>
      <c r="S4" s="4" t="n"/>
      <c r="T4" s="4" t="n"/>
      <c r="U4" s="4" t="n"/>
      <c r="V4" s="4" t="n"/>
      <c r="W4" s="4" t="n"/>
      <c r="X4" s="4" t="n"/>
      <c r="Y4" s="4" t="n"/>
      <c r="Z4" s="4" t="n"/>
    </row>
    <row r="5" ht="15" customHeight="1" s="22">
      <c r="A5" s="9" t="inlineStr">
        <is>
          <t>Semana</t>
        </is>
      </c>
      <c r="B5" s="12" t="inlineStr">
        <is>
          <t>Semana 5</t>
        </is>
      </c>
      <c r="C5" s="23" t="n"/>
      <c r="D5" s="23" t="n"/>
      <c r="E5" s="24" t="n"/>
      <c r="F5" s="4" t="n"/>
      <c r="G5" s="4" t="n"/>
      <c r="H5" s="4" t="n"/>
      <c r="I5" s="4" t="n"/>
      <c r="J5" s="4" t="n"/>
      <c r="K5" s="4" t="n"/>
      <c r="L5" s="4" t="n"/>
      <c r="M5" s="4" t="n"/>
      <c r="N5" s="4" t="n"/>
      <c r="O5" s="4" t="n"/>
      <c r="P5" s="4" t="n"/>
      <c r="Q5" s="4" t="n"/>
      <c r="R5" s="4" t="n"/>
      <c r="S5" s="4" t="n"/>
      <c r="T5" s="4" t="n"/>
      <c r="U5" s="4" t="n"/>
      <c r="V5" s="4" t="n"/>
      <c r="W5" s="4" t="n"/>
      <c r="X5" s="4" t="n"/>
      <c r="Y5" s="4" t="n"/>
      <c r="Z5" s="4" t="n"/>
    </row>
    <row r="6" ht="15" customHeight="1" s="22">
      <c r="A6" s="9" t="inlineStr">
        <is>
          <t>Fechas</t>
        </is>
      </c>
      <c r="B6" s="12" t="inlineStr">
        <is>
          <t>07/09 al 12/09/2026</t>
        </is>
      </c>
      <c r="C6" s="23" t="n"/>
      <c r="D6" s="23" t="n"/>
      <c r="E6" s="24" t="n"/>
      <c r="F6" s="4" t="n"/>
      <c r="G6" s="4" t="n"/>
      <c r="H6" s="4" t="n"/>
      <c r="I6" s="4" t="n"/>
      <c r="J6" s="4" t="n"/>
      <c r="K6" s="4" t="n"/>
      <c r="L6" s="4" t="n"/>
      <c r="M6" s="4" t="n"/>
      <c r="N6" s="4" t="n"/>
      <c r="O6" s="4" t="n"/>
      <c r="P6" s="4" t="n"/>
      <c r="Q6" s="4" t="n"/>
      <c r="R6" s="4" t="n"/>
      <c r="S6" s="4" t="n"/>
      <c r="T6" s="4" t="n"/>
      <c r="U6" s="4" t="n"/>
      <c r="V6" s="4" t="n"/>
      <c r="W6" s="4" t="n"/>
      <c r="X6" s="4" t="n"/>
      <c r="Y6" s="4" t="n"/>
      <c r="Z6" s="4" t="n"/>
    </row>
    <row r="7" ht="23.25" customHeight="1" s="22">
      <c r="A7" s="9" t="inlineStr">
        <is>
          <t>Entrega funcional</t>
        </is>
      </c>
      <c r="B7" s="12" t="inlineStr">
        <is>
          <t>Entrega 1</t>
        </is>
      </c>
      <c r="C7" s="23" t="n"/>
      <c r="D7" s="23" t="n"/>
      <c r="E7" s="24" t="n"/>
      <c r="F7" s="4" t="n"/>
      <c r="G7" s="4" t="n"/>
      <c r="H7" s="4" t="n"/>
      <c r="I7" s="4" t="n"/>
      <c r="J7" s="4" t="n"/>
      <c r="K7" s="4" t="n"/>
      <c r="L7" s="4" t="n"/>
      <c r="M7" s="4" t="n"/>
      <c r="N7" s="4" t="n"/>
      <c r="O7" s="4" t="n"/>
      <c r="P7" s="4" t="n"/>
      <c r="Q7" s="4" t="n"/>
      <c r="R7" s="4" t="n"/>
      <c r="S7" s="4" t="n"/>
      <c r="T7" s="4" t="n"/>
      <c r="U7" s="4" t="n"/>
      <c r="V7" s="4" t="n"/>
      <c r="W7" s="4" t="n"/>
      <c r="X7" s="4" t="n"/>
      <c r="Y7" s="4" t="n"/>
      <c r="Z7" s="4" t="n"/>
    </row>
    <row r="8" ht="15" customHeight="1" s="22">
      <c r="A8" s="9" t="inlineStr">
        <is>
          <t>Estado</t>
        </is>
      </c>
      <c r="B8" s="12" t="inlineStr">
        <is>
          <t>Cerrada</t>
        </is>
      </c>
      <c r="C8" s="23" t="n"/>
      <c r="D8" s="23" t="n"/>
      <c r="E8" s="24" t="n"/>
      <c r="F8" s="4" t="n"/>
      <c r="G8" s="4" t="n"/>
      <c r="H8" s="4" t="n"/>
      <c r="I8" s="4" t="n"/>
      <c r="J8" s="4" t="n"/>
      <c r="K8" s="4" t="n"/>
      <c r="L8" s="4" t="n"/>
      <c r="M8" s="4" t="n"/>
      <c r="N8" s="4" t="n"/>
      <c r="O8" s="4" t="n"/>
      <c r="P8" s="4" t="n"/>
      <c r="Q8" s="4" t="n"/>
      <c r="R8" s="4" t="n"/>
      <c r="S8" s="4" t="n"/>
      <c r="T8" s="4" t="n"/>
      <c r="U8" s="4" t="n"/>
      <c r="V8" s="4" t="n"/>
      <c r="W8" s="4" t="n"/>
      <c r="X8" s="4" t="n"/>
      <c r="Y8" s="4" t="n"/>
      <c r="Z8" s="4" t="n"/>
    </row>
    <row r="9" ht="30" customHeight="1" s="22">
      <c r="A9" s="9" t="inlineStr">
        <is>
          <t>Objetivo</t>
        </is>
      </c>
      <c r="B9" s="12" t="inlineStr">
        <is>
          <t>Habilitar el entorno de desarrollo y desplegar la aplicación para que el cliente pueda revisar el avance desde un enlace.</t>
        </is>
      </c>
      <c r="C9" s="23" t="n"/>
      <c r="D9" s="23" t="n"/>
      <c r="E9" s="24" t="n"/>
      <c r="F9" s="4" t="n"/>
      <c r="G9" s="4" t="n"/>
      <c r="H9" s="4" t="n"/>
      <c r="I9" s="4" t="n"/>
      <c r="J9" s="4" t="n"/>
      <c r="K9" s="4" t="n"/>
      <c r="L9" s="4" t="n"/>
      <c r="M9" s="4" t="n"/>
      <c r="N9" s="4" t="n"/>
      <c r="O9" s="4" t="n"/>
      <c r="P9" s="4" t="n"/>
      <c r="Q9" s="4" t="n"/>
      <c r="R9" s="4" t="n"/>
      <c r="S9" s="4" t="n"/>
      <c r="T9" s="4" t="n"/>
      <c r="U9" s="4" t="n"/>
      <c r="V9" s="4" t="n"/>
      <c r="W9" s="4" t="n"/>
      <c r="X9" s="4" t="n"/>
      <c r="Y9" s="4" t="n"/>
      <c r="Z9" s="4" t="n"/>
    </row>
    <row r="10">
      <c r="A10" s="1" t="n"/>
      <c r="B10" s="1" t="n"/>
      <c r="C10" s="1" t="n"/>
      <c r="D10" s="1" t="n"/>
      <c r="E10" s="1" t="n"/>
      <c r="F10" s="4" t="n"/>
      <c r="G10" s="4" t="n"/>
      <c r="H10" s="4" t="n"/>
      <c r="I10" s="4" t="n"/>
      <c r="J10" s="4" t="n"/>
      <c r="K10" s="4" t="n"/>
      <c r="L10" s="4" t="n"/>
      <c r="M10" s="4" t="n"/>
      <c r="N10" s="4" t="n"/>
      <c r="O10" s="4" t="n"/>
      <c r="P10" s="4" t="n"/>
      <c r="Q10" s="4" t="n"/>
      <c r="R10" s="4" t="n"/>
      <c r="S10" s="4" t="n"/>
      <c r="T10" s="4" t="n"/>
      <c r="U10" s="4" t="n"/>
      <c r="V10" s="4" t="n"/>
      <c r="W10" s="4" t="n"/>
      <c r="X10" s="4" t="n"/>
      <c r="Y10" s="4" t="n"/>
      <c r="Z10" s="4" t="n"/>
    </row>
    <row r="11" ht="15" customHeight="1" s="22">
      <c r="A11" s="16" t="inlineStr">
        <is>
          <t>Historias comprometidas</t>
        </is>
      </c>
      <c r="B11" s="1" t="n"/>
      <c r="C11" s="1" t="n"/>
      <c r="D11" s="1" t="n"/>
      <c r="E11" s="1" t="n"/>
      <c r="F11" s="4" t="n"/>
      <c r="G11" s="4" t="n"/>
      <c r="H11" s="4" t="n"/>
      <c r="I11" s="4" t="n"/>
      <c r="J11" s="4" t="n"/>
      <c r="K11" s="4" t="n"/>
      <c r="L11" s="4" t="n"/>
      <c r="M11" s="4" t="n"/>
      <c r="N11" s="4" t="n"/>
      <c r="O11" s="4" t="n"/>
      <c r="P11" s="4" t="n"/>
      <c r="Q11" s="4" t="n"/>
      <c r="R11" s="4" t="n"/>
      <c r="S11" s="4" t="n"/>
      <c r="T11" s="4" t="n"/>
      <c r="U11" s="4" t="n"/>
      <c r="V11" s="4" t="n"/>
      <c r="W11" s="4" t="n"/>
      <c r="X11" s="4" t="n"/>
      <c r="Y11" s="4" t="n"/>
      <c r="Z11" s="4" t="n"/>
    </row>
    <row r="12" ht="15" customHeight="1" s="22">
      <c r="A12" s="8" t="inlineStr">
        <is>
          <t>ID</t>
        </is>
      </c>
      <c r="B12" s="8" t="inlineStr">
        <is>
          <t>Historia</t>
        </is>
      </c>
      <c r="C12" s="8" t="inlineStr">
        <is>
          <t>Puntos</t>
        </is>
      </c>
      <c r="D12" s="8" t="inlineStr">
        <is>
          <t>Responsable</t>
        </is>
      </c>
      <c r="E12" s="8" t="inlineStr">
        <is>
          <t>Estado</t>
        </is>
      </c>
      <c r="F12" s="4" t="n"/>
      <c r="G12" s="4" t="n"/>
      <c r="H12" s="4" t="n"/>
      <c r="I12" s="4" t="n"/>
      <c r="J12" s="4" t="n"/>
      <c r="K12" s="4" t="n"/>
      <c r="L12" s="4" t="n"/>
      <c r="M12" s="4" t="n"/>
      <c r="N12" s="4" t="n"/>
      <c r="O12" s="4" t="n"/>
      <c r="P12" s="4" t="n"/>
      <c r="Q12" s="4" t="n"/>
      <c r="R12" s="4" t="n"/>
      <c r="S12" s="4" t="n"/>
      <c r="T12" s="4" t="n"/>
      <c r="U12" s="4" t="n"/>
      <c r="V12" s="4" t="n"/>
      <c r="W12" s="4" t="n"/>
      <c r="X12" s="4" t="n"/>
      <c r="Y12" s="4" t="n"/>
      <c r="Z12" s="4" t="n"/>
    </row>
    <row r="13" ht="15" customHeight="1" s="22">
      <c r="A13" s="15" t="inlineStr">
        <is>
          <t>HT-01</t>
        </is>
      </c>
      <c r="B13" s="12" t="inlineStr">
        <is>
          <t>Despliegue de la aplicación y de la API</t>
        </is>
      </c>
      <c r="C13" s="15" t="n">
        <v>4</v>
      </c>
      <c r="D13" s="12" t="inlineStr">
        <is>
          <t>Jeremías Fernández</t>
        </is>
      </c>
      <c r="E13" s="15" t="inlineStr">
        <is>
          <t>Hecho</t>
        </is>
      </c>
      <c r="F13" s="4" t="n"/>
      <c r="G13" s="4" t="n"/>
      <c r="H13" s="4" t="n"/>
      <c r="I13" s="4" t="n"/>
      <c r="J13" s="4" t="n"/>
      <c r="K13" s="4" t="n"/>
      <c r="L13" s="4" t="n"/>
      <c r="M13" s="4" t="n"/>
      <c r="N13" s="4" t="n"/>
      <c r="O13" s="4" t="n"/>
      <c r="P13" s="4" t="n"/>
      <c r="Q13" s="4" t="n"/>
      <c r="R13" s="4" t="n"/>
      <c r="S13" s="4" t="n"/>
      <c r="T13" s="4" t="n"/>
      <c r="U13" s="4" t="n"/>
      <c r="V13" s="4" t="n"/>
      <c r="W13" s="4" t="n"/>
      <c r="X13" s="4" t="n"/>
      <c r="Y13" s="4" t="n"/>
      <c r="Z13" s="4" t="n"/>
    </row>
    <row r="14" ht="15" customHeight="1" s="22">
      <c r="A14" s="1" t="n"/>
      <c r="B14" s="18" t="inlineStr">
        <is>
          <t>Puntos comprometidos</t>
        </is>
      </c>
      <c r="C14" s="21">
        <f>SUMPRODUCT(C13*ISERROR(SEARCH("no planificada",B13)))</f>
        <v/>
      </c>
      <c r="D14" s="1" t="n"/>
      <c r="E14" s="1" t="n"/>
      <c r="F14" s="4" t="n"/>
      <c r="G14" s="4" t="n"/>
      <c r="H14" s="4" t="n"/>
      <c r="I14" s="4" t="n"/>
      <c r="J14" s="4" t="n"/>
      <c r="K14" s="4" t="n"/>
      <c r="L14" s="4" t="n"/>
      <c r="M14" s="4" t="n"/>
      <c r="N14" s="4" t="n"/>
      <c r="O14" s="4" t="n"/>
      <c r="P14" s="4" t="n"/>
      <c r="Q14" s="4" t="n"/>
      <c r="R14" s="4" t="n"/>
      <c r="S14" s="4" t="n"/>
      <c r="T14" s="4" t="n"/>
      <c r="U14" s="4" t="n"/>
      <c r="V14" s="4" t="n"/>
      <c r="W14" s="4" t="n"/>
      <c r="X14" s="4" t="n"/>
      <c r="Y14" s="4" t="n"/>
      <c r="Z14" s="4" t="n"/>
    </row>
    <row r="15" ht="15" customHeight="1" s="22">
      <c r="A15" s="1" t="n"/>
      <c r="B15" s="18" t="inlineStr">
        <is>
          <t>Puntos terminados (velocidad, incluye lo no planificado)</t>
        </is>
      </c>
      <c r="C15" s="21">
        <f>SUMIF(E13,"Hecho",C13)</f>
        <v/>
      </c>
      <c r="D15" s="1" t="n"/>
      <c r="E15" s="1" t="n"/>
      <c r="F15" s="4" t="n"/>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1" t="n"/>
      <c r="B16" s="1" t="n"/>
      <c r="C16" s="1" t="n"/>
      <c r="D16" s="1" t="n"/>
      <c r="E16" s="1" t="n"/>
      <c r="F16" s="4" t="n"/>
      <c r="G16" s="4" t="n"/>
      <c r="H16" s="4" t="n"/>
      <c r="I16" s="4" t="n"/>
      <c r="J16" s="4" t="n"/>
      <c r="K16" s="4" t="n"/>
      <c r="L16" s="4" t="n"/>
      <c r="M16" s="4" t="n"/>
      <c r="N16" s="4" t="n"/>
      <c r="O16" s="4" t="n"/>
      <c r="P16" s="4" t="n"/>
      <c r="Q16" s="4" t="n"/>
      <c r="R16" s="4" t="n"/>
      <c r="S16" s="4" t="n"/>
      <c r="T16" s="4" t="n"/>
      <c r="U16" s="4" t="n"/>
      <c r="V16" s="4" t="n"/>
      <c r="W16" s="4" t="n"/>
      <c r="X16" s="4" t="n"/>
      <c r="Y16" s="4" t="n"/>
      <c r="Z16" s="4" t="n"/>
    </row>
    <row r="17" ht="15" customHeight="1" s="22">
      <c r="A17" s="16" t="inlineStr">
        <is>
          <t>Tareas</t>
        </is>
      </c>
      <c r="B17" s="1" t="n"/>
      <c r="C17" s="1" t="n"/>
      <c r="D17" s="1" t="n"/>
      <c r="E17" s="1" t="n"/>
      <c r="F17" s="4" t="n"/>
      <c r="G17" s="4" t="n"/>
      <c r="H17" s="4" t="n"/>
      <c r="I17" s="4" t="n"/>
      <c r="J17" s="4" t="n"/>
      <c r="K17" s="4" t="n"/>
      <c r="L17" s="4" t="n"/>
      <c r="M17" s="4" t="n"/>
      <c r="N17" s="4" t="n"/>
      <c r="O17" s="4" t="n"/>
      <c r="P17" s="4" t="n"/>
      <c r="Q17" s="4" t="n"/>
      <c r="R17" s="4" t="n"/>
      <c r="S17" s="4" t="n"/>
      <c r="T17" s="4" t="n"/>
      <c r="U17" s="4" t="n"/>
      <c r="V17" s="4" t="n"/>
      <c r="W17" s="4" t="n"/>
      <c r="X17" s="4" t="n"/>
      <c r="Y17" s="4" t="n"/>
      <c r="Z17" s="4" t="n"/>
    </row>
    <row r="18" ht="15" customHeight="1" s="22">
      <c r="A18" s="8" t="inlineStr">
        <is>
          <t>ID</t>
        </is>
      </c>
      <c r="B18" s="8" t="inlineStr">
        <is>
          <t>Tarea</t>
        </is>
      </c>
      <c r="C18" s="8" t="inlineStr">
        <is>
          <t>Historia</t>
        </is>
      </c>
      <c r="D18" s="8" t="inlineStr">
        <is>
          <t>Responsable</t>
        </is>
      </c>
      <c r="E18" s="8" t="inlineStr">
        <is>
          <t>Estado</t>
        </is>
      </c>
      <c r="F18" s="4" t="n"/>
      <c r="G18" s="4" t="n"/>
      <c r="H18" s="4" t="n"/>
      <c r="I18" s="4" t="n"/>
      <c r="J18" s="4" t="n"/>
      <c r="K18" s="4" t="n"/>
      <c r="L18" s="4" t="n"/>
      <c r="M18" s="4" t="n"/>
      <c r="N18" s="4" t="n"/>
      <c r="O18" s="4" t="n"/>
      <c r="P18" s="4" t="n"/>
      <c r="Q18" s="4" t="n"/>
      <c r="R18" s="4" t="n"/>
      <c r="S18" s="4" t="n"/>
      <c r="T18" s="4" t="n"/>
      <c r="U18" s="4" t="n"/>
      <c r="V18" s="4" t="n"/>
      <c r="W18" s="4" t="n"/>
      <c r="X18" s="4" t="n"/>
      <c r="Y18" s="4" t="n"/>
      <c r="Z18" s="4" t="n"/>
    </row>
    <row r="19" ht="15" customHeight="1" s="22">
      <c r="A19" s="15" t="inlineStr">
        <is>
          <t>T-02</t>
        </is>
      </c>
      <c r="B19" s="12" t="inlineStr">
        <is>
          <t>Crear el repositorio y las convenciones de ramas</t>
        </is>
      </c>
      <c r="C19" s="15" t="inlineStr">
        <is>
          <t>HT-01</t>
        </is>
      </c>
      <c r="D19" s="12" t="inlineStr">
        <is>
          <t>Jeremías Fernández</t>
        </is>
      </c>
      <c r="E19" s="15" t="inlineStr">
        <is>
          <t>Hecho</t>
        </is>
      </c>
      <c r="F19" s="4" t="n"/>
      <c r="G19" s="4" t="n"/>
      <c r="H19" s="4" t="n"/>
      <c r="I19" s="4" t="n"/>
      <c r="J19" s="4" t="n"/>
      <c r="K19" s="4" t="n"/>
      <c r="L19" s="4" t="n"/>
      <c r="M19" s="4" t="n"/>
      <c r="N19" s="4" t="n"/>
      <c r="O19" s="4" t="n"/>
      <c r="P19" s="4" t="n"/>
      <c r="Q19" s="4" t="n"/>
      <c r="R19" s="4" t="n"/>
      <c r="S19" s="4" t="n"/>
      <c r="T19" s="4" t="n"/>
      <c r="U19" s="4" t="n"/>
      <c r="V19" s="4" t="n"/>
      <c r="W19" s="4" t="n"/>
      <c r="X19" s="4" t="n"/>
      <c r="Y19" s="4" t="n"/>
      <c r="Z19" s="4" t="n"/>
    </row>
    <row r="20" ht="15" customHeight="1" s="22">
      <c r="A20" s="15" t="inlineStr">
        <is>
          <t>T-03</t>
        </is>
      </c>
      <c r="B20" s="12" t="inlineStr">
        <is>
          <t>Desplegar la compilación web en Vercel</t>
        </is>
      </c>
      <c r="C20" s="15" t="inlineStr">
        <is>
          <t>HT-01</t>
        </is>
      </c>
      <c r="D20" s="12" t="inlineStr">
        <is>
          <t>Jeremías Fernández</t>
        </is>
      </c>
      <c r="E20" s="15" t="inlineStr">
        <is>
          <t>Hecho</t>
        </is>
      </c>
      <c r="F20" s="4" t="n"/>
      <c r="G20" s="4" t="n"/>
      <c r="H20" s="4" t="n"/>
      <c r="I20" s="4" t="n"/>
      <c r="J20" s="4" t="n"/>
      <c r="K20" s="4" t="n"/>
      <c r="L20" s="4" t="n"/>
      <c r="M20" s="4" t="n"/>
      <c r="N20" s="4" t="n"/>
      <c r="O20" s="4" t="n"/>
      <c r="P20" s="4" t="n"/>
      <c r="Q20" s="4" t="n"/>
      <c r="R20" s="4" t="n"/>
      <c r="S20" s="4" t="n"/>
      <c r="T20" s="4" t="n"/>
      <c r="U20" s="4" t="n"/>
      <c r="V20" s="4" t="n"/>
      <c r="W20" s="4" t="n"/>
      <c r="X20" s="4" t="n"/>
      <c r="Y20" s="4" t="n"/>
      <c r="Z20" s="4" t="n"/>
    </row>
    <row r="21" ht="15" customHeight="1" s="22">
      <c r="A21" s="15" t="inlineStr">
        <is>
          <t>T-04</t>
        </is>
      </c>
      <c r="B21" s="12" t="inlineStr">
        <is>
          <t>Desplegar la API en un proyecto separado de Vercel</t>
        </is>
      </c>
      <c r="C21" s="15" t="inlineStr">
        <is>
          <t>HT-01</t>
        </is>
      </c>
      <c r="D21" s="12" t="inlineStr">
        <is>
          <t>Jeremías Fernández</t>
        </is>
      </c>
      <c r="E21" s="15" t="inlineStr">
        <is>
          <t>Hecho</t>
        </is>
      </c>
      <c r="F21" s="4" t="n"/>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22">
      <c r="A22" s="1" t="n"/>
      <c r="B22" s="1" t="n"/>
      <c r="C22" s="1" t="n"/>
      <c r="D22" s="1" t="n"/>
      <c r="E22" s="1" t="n"/>
      <c r="F22" s="4" t="n"/>
      <c r="G22" s="4" t="n"/>
      <c r="H22" s="4" t="n"/>
      <c r="I22" s="4" t="n"/>
      <c r="J22" s="4" t="n"/>
      <c r="K22" s="4" t="n"/>
      <c r="L22" s="4" t="n"/>
      <c r="M22" s="4" t="n"/>
      <c r="N22" s="4" t="n"/>
      <c r="O22" s="4" t="n"/>
      <c r="P22" s="4" t="n"/>
      <c r="Q22" s="4" t="n"/>
      <c r="R22" s="4" t="n"/>
      <c r="S22" s="4" t="n"/>
      <c r="T22" s="4" t="n"/>
      <c r="U22" s="4" t="n"/>
      <c r="V22" s="4" t="n"/>
      <c r="W22" s="4" t="n"/>
      <c r="X22" s="4" t="n"/>
      <c r="Y22" s="4" t="n"/>
      <c r="Z22" s="4" t="n"/>
    </row>
    <row r="23" ht="15" customHeight="1" s="22">
      <c r="A23" s="16" t="inlineStr">
        <is>
          <t>Cierre de la iteración</t>
        </is>
      </c>
      <c r="B23" s="1" t="n"/>
      <c r="C23" s="1" t="n"/>
      <c r="D23" s="1" t="n"/>
      <c r="E23" s="1" t="n"/>
      <c r="F23" s="4" t="n"/>
      <c r="G23" s="4" t="n"/>
      <c r="H23" s="4" t="n"/>
      <c r="I23" s="4" t="n"/>
      <c r="J23" s="4" t="n"/>
      <c r="K23" s="4" t="n"/>
      <c r="L23" s="4" t="n"/>
      <c r="M23" s="4" t="n"/>
      <c r="N23" s="4" t="n"/>
      <c r="O23" s="4" t="n"/>
      <c r="P23" s="4" t="n"/>
      <c r="Q23" s="4" t="n"/>
      <c r="R23" s="4" t="n"/>
      <c r="S23" s="4" t="n"/>
      <c r="T23" s="4" t="n"/>
      <c r="U23" s="4" t="n"/>
      <c r="V23" s="4" t="n"/>
      <c r="W23" s="4" t="n"/>
      <c r="X23" s="4" t="n"/>
      <c r="Y23" s="4" t="n"/>
      <c r="Z23" s="4" t="n"/>
    </row>
    <row r="24" ht="45" customHeight="1" s="22">
      <c r="A24" s="9" t="inlineStr">
        <is>
          <t>Resultado</t>
        </is>
      </c>
      <c r="B24" s="12" t="inlineStr">
        <is>
          <t>Se creó el repositorio y se desplegaron la compilación web y la API. La verificación del entorno en los equipos de los tres integrantes no alcanzó a completarse; en lugar de mantener la historia abierta, se separó en la historia técnica HT-06, de 1 punto, planificada para la iteración 4.</t>
        </is>
      </c>
      <c r="C24" s="23" t="n"/>
      <c r="D24" s="23" t="n"/>
      <c r="E24" s="24" t="n"/>
      <c r="F24" s="4" t="n"/>
      <c r="G24" s="4" t="n"/>
      <c r="H24" s="4" t="n"/>
      <c r="I24" s="4" t="n"/>
      <c r="J24" s="4" t="n"/>
      <c r="K24" s="4" t="n"/>
      <c r="L24" s="4" t="n"/>
      <c r="M24" s="4" t="n"/>
      <c r="N24" s="4" t="n"/>
      <c r="O24" s="4" t="n"/>
      <c r="P24" s="4" t="n"/>
      <c r="Q24" s="4" t="n"/>
      <c r="R24" s="4" t="n"/>
      <c r="S24" s="4" t="n"/>
      <c r="T24" s="4" t="n"/>
      <c r="U24" s="4" t="n"/>
      <c r="V24" s="4" t="n"/>
      <c r="W24" s="4" t="n"/>
      <c r="X24" s="4" t="n"/>
      <c r="Y24" s="4" t="n"/>
      <c r="Z24" s="4" t="n"/>
    </row>
    <row r="25" ht="45" customHeight="1" s="22">
      <c r="A25" s="9" t="inlineStr">
        <is>
          <t>Ajuste acordado</t>
        </is>
      </c>
      <c r="B25" s="12" t="inlineStr">
        <is>
          <t>Verificar el entorno en los equipos de los tres integrantes antes de cerrar una iteración.</t>
        </is>
      </c>
      <c r="C25" s="23" t="n"/>
      <c r="D25" s="23" t="n"/>
      <c r="E25" s="24" t="n"/>
      <c r="F25" s="4" t="n"/>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22">
      <c r="A26" s="1" t="n"/>
      <c r="B26" s="1" t="n"/>
      <c r="C26" s="1" t="n"/>
      <c r="D26" s="1" t="n"/>
      <c r="E26" s="1" t="n"/>
      <c r="F26" s="4" t="n"/>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22">
      <c r="A27" s="1" t="n"/>
      <c r="B27" s="1" t="n"/>
      <c r="C27" s="1" t="n"/>
      <c r="D27" s="1" t="n"/>
      <c r="E27" s="1" t="n"/>
      <c r="F27" s="4" t="n"/>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22">
      <c r="A28" s="1" t="n"/>
      <c r="B28" s="1" t="n"/>
      <c r="C28" s="1" t="n"/>
      <c r="D28" s="1" t="n"/>
      <c r="E28" s="1" t="n"/>
      <c r="F28" s="4" t="n"/>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22">
      <c r="A29" s="1" t="n"/>
      <c r="B29" s="1" t="n"/>
      <c r="C29" s="1" t="n"/>
      <c r="D29" s="1" t="n"/>
      <c r="E29" s="1" t="n"/>
      <c r="F29" s="4" t="n"/>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22">
      <c r="A30" s="1" t="n"/>
      <c r="B30" s="1" t="n"/>
      <c r="C30" s="1" t="n"/>
      <c r="D30" s="1" t="n"/>
      <c r="E30" s="1" t="n"/>
      <c r="F30" s="4" t="n"/>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22">
      <c r="A31" s="1" t="n"/>
      <c r="B31" s="1" t="n"/>
      <c r="C31" s="1" t="n"/>
      <c r="D31" s="1" t="n"/>
      <c r="E31" s="1" t="n"/>
      <c r="F31" s="4" t="n"/>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22">
      <c r="A32" s="1" t="n"/>
      <c r="B32" s="1" t="n"/>
      <c r="C32" s="1" t="n"/>
      <c r="D32" s="1" t="n"/>
      <c r="E32" s="1" t="n"/>
      <c r="F32" s="4" t="n"/>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22">
      <c r="A33" s="1" t="n"/>
      <c r="B33" s="1" t="n"/>
      <c r="C33" s="1" t="n"/>
      <c r="D33" s="1" t="n"/>
      <c r="E33" s="1" t="n"/>
      <c r="F33" s="4" t="n"/>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22">
      <c r="A34" s="1" t="n"/>
      <c r="B34" s="1" t="n"/>
      <c r="C34" s="1" t="n"/>
      <c r="D34" s="1" t="n"/>
      <c r="E34" s="1" t="n"/>
      <c r="F34" s="4" t="n"/>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22">
      <c r="A35" s="1" t="n"/>
      <c r="B35" s="1" t="n"/>
      <c r="C35" s="1" t="n"/>
      <c r="D35" s="1" t="n"/>
      <c r="E35" s="1" t="n"/>
      <c r="F35" s="4" t="n"/>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22">
      <c r="A36" s="1" t="n"/>
      <c r="B36" s="1" t="n"/>
      <c r="C36" s="1" t="n"/>
      <c r="D36" s="1" t="n"/>
      <c r="E36" s="1" t="n"/>
      <c r="F36" s="4" t="n"/>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22">
      <c r="A37" s="1" t="n"/>
      <c r="B37" s="1" t="n"/>
      <c r="C37" s="1" t="n"/>
      <c r="D37" s="1" t="n"/>
      <c r="E37" s="1" t="n"/>
      <c r="F37" s="4" t="n"/>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22">
      <c r="A38" s="1" t="n"/>
      <c r="B38" s="1" t="n"/>
      <c r="C38" s="1" t="n"/>
      <c r="D38" s="1" t="n"/>
      <c r="E38" s="1" t="n"/>
      <c r="F38" s="4" t="n"/>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22">
      <c r="A39" s="1" t="n"/>
      <c r="B39" s="1" t="n"/>
      <c r="C39" s="1" t="n"/>
      <c r="D39" s="1" t="n"/>
      <c r="E39" s="1" t="n"/>
      <c r="F39" s="4" t="n"/>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22">
      <c r="A40" s="1" t="n"/>
      <c r="B40" s="1" t="n"/>
      <c r="C40" s="1" t="n"/>
      <c r="D40" s="1" t="n"/>
      <c r="E40" s="1" t="n"/>
      <c r="F40" s="4" t="n"/>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22">
      <c r="A41" s="1" t="n"/>
      <c r="B41" s="1" t="n"/>
      <c r="C41" s="1" t="n"/>
      <c r="D41" s="1" t="n"/>
      <c r="E41" s="1" t="n"/>
      <c r="F41" s="4" t="n"/>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22">
      <c r="A42" s="1" t="n"/>
      <c r="B42" s="1" t="n"/>
      <c r="C42" s="1" t="n"/>
      <c r="D42" s="1" t="n"/>
      <c r="E42" s="1" t="n"/>
      <c r="F42" s="4" t="n"/>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22">
      <c r="A43" s="1" t="n"/>
      <c r="B43" s="1" t="n"/>
      <c r="C43" s="1" t="n"/>
      <c r="D43" s="1" t="n"/>
      <c r="E43" s="1" t="n"/>
      <c r="F43" s="4" t="n"/>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22">
      <c r="A44" s="1" t="n"/>
      <c r="B44" s="1" t="n"/>
      <c r="C44" s="1" t="n"/>
      <c r="D44" s="1" t="n"/>
      <c r="E44" s="1" t="n"/>
      <c r="F44" s="4" t="n"/>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22">
      <c r="A45" s="1" t="n"/>
      <c r="B45" s="1" t="n"/>
      <c r="C45" s="1" t="n"/>
      <c r="D45" s="1" t="n"/>
      <c r="E45" s="1" t="n"/>
      <c r="F45" s="4" t="n"/>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22">
      <c r="A46" s="1" t="n"/>
      <c r="B46" s="1" t="n"/>
      <c r="C46" s="1" t="n"/>
      <c r="D46" s="1" t="n"/>
      <c r="E46" s="1" t="n"/>
      <c r="F46" s="4" t="n"/>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22">
      <c r="A47" s="1" t="n"/>
      <c r="B47" s="1" t="n"/>
      <c r="C47" s="1" t="n"/>
      <c r="D47" s="1" t="n"/>
      <c r="E47" s="1" t="n"/>
      <c r="F47" s="4" t="n"/>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22">
      <c r="A48" s="1" t="n"/>
      <c r="B48" s="1" t="n"/>
      <c r="C48" s="1" t="n"/>
      <c r="D48" s="1" t="n"/>
      <c r="E48" s="1" t="n"/>
      <c r="F48" s="4" t="n"/>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22">
      <c r="A49" s="1" t="n"/>
      <c r="B49" s="1" t="n"/>
      <c r="C49" s="1" t="n"/>
      <c r="D49" s="1" t="n"/>
      <c r="E49" s="1" t="n"/>
      <c r="F49" s="4" t="n"/>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22">
      <c r="A50" s="1" t="n"/>
      <c r="B50" s="1" t="n"/>
      <c r="C50" s="1" t="n"/>
      <c r="D50" s="1" t="n"/>
      <c r="E50" s="1" t="n"/>
      <c r="F50" s="4" t="n"/>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22">
      <c r="A51" s="1" t="n"/>
      <c r="B51" s="1" t="n"/>
      <c r="C51" s="1" t="n"/>
      <c r="D51" s="1" t="n"/>
      <c r="E51" s="1" t="n"/>
      <c r="F51" s="4" t="n"/>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22">
      <c r="A52" s="1" t="n"/>
      <c r="B52" s="1" t="n"/>
      <c r="C52" s="1" t="n"/>
      <c r="D52" s="1" t="n"/>
      <c r="E52" s="1" t="n"/>
      <c r="F52" s="4" t="n"/>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22">
      <c r="A53" s="1" t="n"/>
      <c r="B53" s="1" t="n"/>
      <c r="C53" s="1" t="n"/>
      <c r="D53" s="1" t="n"/>
      <c r="E53" s="1" t="n"/>
      <c r="F53" s="4" t="n"/>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22">
      <c r="A54" s="1" t="n"/>
      <c r="B54" s="1" t="n"/>
      <c r="C54" s="1" t="n"/>
      <c r="D54" s="1" t="n"/>
      <c r="E54" s="1" t="n"/>
      <c r="F54" s="4" t="n"/>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22">
      <c r="A55" s="1" t="n"/>
      <c r="B55" s="1" t="n"/>
      <c r="C55" s="1" t="n"/>
      <c r="D55" s="1" t="n"/>
      <c r="E55" s="1" t="n"/>
      <c r="F55" s="4" t="n"/>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22">
      <c r="A56" s="1" t="n"/>
      <c r="B56" s="1" t="n"/>
      <c r="C56" s="1" t="n"/>
      <c r="D56" s="1" t="n"/>
      <c r="E56" s="1" t="n"/>
      <c r="F56" s="4" t="n"/>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22">
      <c r="A57" s="1" t="n"/>
      <c r="B57" s="1" t="n"/>
      <c r="C57" s="1" t="n"/>
      <c r="D57" s="1" t="n"/>
      <c r="E57" s="1" t="n"/>
      <c r="F57" s="4" t="n"/>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22">
      <c r="A58" s="1" t="n"/>
      <c r="B58" s="1" t="n"/>
      <c r="C58" s="1" t="n"/>
      <c r="D58" s="1" t="n"/>
      <c r="E58" s="1" t="n"/>
      <c r="F58" s="4" t="n"/>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22">
      <c r="A59" s="1" t="n"/>
      <c r="B59" s="1" t="n"/>
      <c r="C59" s="1" t="n"/>
      <c r="D59" s="1" t="n"/>
      <c r="E59" s="1" t="n"/>
      <c r="F59" s="4" t="n"/>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22">
      <c r="A60" s="1" t="n"/>
      <c r="B60" s="1" t="n"/>
      <c r="C60" s="1" t="n"/>
      <c r="D60" s="1" t="n"/>
      <c r="E60" s="1" t="n"/>
      <c r="F60" s="4" t="n"/>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22">
      <c r="A61" s="1" t="n"/>
      <c r="B61" s="1" t="n"/>
      <c r="C61" s="1" t="n"/>
      <c r="D61" s="1" t="n"/>
      <c r="E61" s="1" t="n"/>
      <c r="F61" s="4" t="n"/>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22">
      <c r="A62" s="1" t="n"/>
      <c r="B62" s="1" t="n"/>
      <c r="C62" s="1" t="n"/>
      <c r="D62" s="1" t="n"/>
      <c r="E62" s="1" t="n"/>
      <c r="F62" s="4" t="n"/>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22">
      <c r="A63" s="1" t="n"/>
      <c r="B63" s="1" t="n"/>
      <c r="C63" s="1" t="n"/>
      <c r="D63" s="1" t="n"/>
      <c r="E63" s="1" t="n"/>
      <c r="F63" s="4" t="n"/>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22">
      <c r="A64" s="1" t="n"/>
      <c r="B64" s="1" t="n"/>
      <c r="C64" s="1" t="n"/>
      <c r="D64" s="1" t="n"/>
      <c r="E64" s="1" t="n"/>
      <c r="F64" s="4" t="n"/>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22">
      <c r="A65" s="1" t="n"/>
      <c r="B65" s="1" t="n"/>
      <c r="C65" s="1" t="n"/>
      <c r="D65" s="1" t="n"/>
      <c r="E65" s="1" t="n"/>
      <c r="F65" s="4" t="n"/>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22">
      <c r="A66" s="1" t="n"/>
      <c r="B66" s="1" t="n"/>
      <c r="C66" s="1" t="n"/>
      <c r="D66" s="1" t="n"/>
      <c r="E66" s="1" t="n"/>
      <c r="F66" s="4" t="n"/>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22">
      <c r="A67" s="1" t="n"/>
      <c r="B67" s="1" t="n"/>
      <c r="C67" s="1" t="n"/>
      <c r="D67" s="1" t="n"/>
      <c r="E67" s="1" t="n"/>
      <c r="F67" s="4" t="n"/>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22">
      <c r="A68" s="1" t="n"/>
      <c r="B68" s="1" t="n"/>
      <c r="C68" s="1" t="n"/>
      <c r="D68" s="1" t="n"/>
      <c r="E68" s="1" t="n"/>
      <c r="F68" s="4" t="n"/>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22">
      <c r="A69" s="1" t="n"/>
      <c r="B69" s="1" t="n"/>
      <c r="C69" s="1" t="n"/>
      <c r="D69" s="1" t="n"/>
      <c r="E69" s="1" t="n"/>
      <c r="F69" s="4" t="n"/>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22">
      <c r="A70" s="1" t="n"/>
      <c r="B70" s="1" t="n"/>
      <c r="C70" s="1" t="n"/>
      <c r="D70" s="1" t="n"/>
      <c r="E70" s="1" t="n"/>
      <c r="F70" s="4" t="n"/>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22">
      <c r="A71" s="1" t="n"/>
      <c r="B71" s="1" t="n"/>
      <c r="C71" s="1" t="n"/>
      <c r="D71" s="1" t="n"/>
      <c r="E71" s="1" t="n"/>
      <c r="F71" s="4" t="n"/>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22">
      <c r="A72" s="1" t="n"/>
      <c r="B72" s="1" t="n"/>
      <c r="C72" s="1" t="n"/>
      <c r="D72" s="1" t="n"/>
      <c r="E72" s="1" t="n"/>
      <c r="F72" s="4" t="n"/>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22">
      <c r="A73" s="1" t="n"/>
      <c r="B73" s="1" t="n"/>
      <c r="C73" s="1" t="n"/>
      <c r="D73" s="1" t="n"/>
      <c r="E73" s="1" t="n"/>
      <c r="F73" s="4" t="n"/>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22">
      <c r="A74" s="1" t="n"/>
      <c r="B74" s="1" t="n"/>
      <c r="C74" s="1" t="n"/>
      <c r="D74" s="1" t="n"/>
      <c r="E74" s="1" t="n"/>
      <c r="F74" s="4" t="n"/>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22">
      <c r="A75" s="1" t="n"/>
      <c r="B75" s="1" t="n"/>
      <c r="C75" s="1" t="n"/>
      <c r="D75" s="1" t="n"/>
      <c r="E75" s="1" t="n"/>
      <c r="F75" s="4" t="n"/>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22">
      <c r="A76" s="1" t="n"/>
      <c r="B76" s="1" t="n"/>
      <c r="C76" s="1" t="n"/>
      <c r="D76" s="1" t="n"/>
      <c r="E76" s="1" t="n"/>
      <c r="F76" s="4" t="n"/>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22">
      <c r="A77" s="1" t="n"/>
      <c r="B77" s="1" t="n"/>
      <c r="C77" s="1" t="n"/>
      <c r="D77" s="1" t="n"/>
      <c r="E77" s="1" t="n"/>
      <c r="F77" s="4" t="n"/>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22">
      <c r="A78" s="1" t="n"/>
      <c r="B78" s="1" t="n"/>
      <c r="C78" s="1" t="n"/>
      <c r="D78" s="1" t="n"/>
      <c r="E78" s="1" t="n"/>
      <c r="F78" s="4" t="n"/>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22">
      <c r="A79" s="1" t="n"/>
      <c r="B79" s="1" t="n"/>
      <c r="C79" s="1" t="n"/>
      <c r="D79" s="1" t="n"/>
      <c r="E79" s="1" t="n"/>
      <c r="F79" s="4" t="n"/>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22">
      <c r="A80" s="1" t="n"/>
      <c r="B80" s="1" t="n"/>
      <c r="C80" s="1" t="n"/>
      <c r="D80" s="1" t="n"/>
      <c r="E80" s="1" t="n"/>
      <c r="F80" s="4" t="n"/>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22">
      <c r="A81" s="1" t="n"/>
      <c r="B81" s="1" t="n"/>
      <c r="C81" s="1" t="n"/>
      <c r="D81" s="1" t="n"/>
      <c r="E81" s="1" t="n"/>
      <c r="F81" s="4" t="n"/>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22">
      <c r="A82" s="1" t="n"/>
      <c r="B82" s="1" t="n"/>
      <c r="C82" s="1" t="n"/>
      <c r="D82" s="1" t="n"/>
      <c r="E82" s="1" t="n"/>
      <c r="F82" s="4" t="n"/>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22">
      <c r="A83" s="1" t="n"/>
      <c r="B83" s="1" t="n"/>
      <c r="C83" s="1" t="n"/>
      <c r="D83" s="1" t="n"/>
      <c r="E83" s="1" t="n"/>
      <c r="F83" s="4" t="n"/>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22">
      <c r="A84" s="1" t="n"/>
      <c r="B84" s="1" t="n"/>
      <c r="C84" s="1" t="n"/>
      <c r="D84" s="1" t="n"/>
      <c r="E84" s="1" t="n"/>
      <c r="F84" s="4" t="n"/>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22">
      <c r="A85" s="1" t="n"/>
      <c r="B85" s="1" t="n"/>
      <c r="C85" s="1" t="n"/>
      <c r="D85" s="1" t="n"/>
      <c r="E85" s="1" t="n"/>
      <c r="F85" s="4" t="n"/>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22">
      <c r="A86" s="1" t="n"/>
      <c r="B86" s="1" t="n"/>
      <c r="C86" s="1" t="n"/>
      <c r="D86" s="1" t="n"/>
      <c r="E86" s="1" t="n"/>
      <c r="F86" s="4" t="n"/>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22">
      <c r="A87" s="1" t="n"/>
      <c r="B87" s="1" t="n"/>
      <c r="C87" s="1" t="n"/>
      <c r="D87" s="1" t="n"/>
      <c r="E87" s="1" t="n"/>
      <c r="F87" s="4" t="n"/>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22">
      <c r="A88" s="1" t="n"/>
      <c r="B88" s="1" t="n"/>
      <c r="C88" s="1" t="n"/>
      <c r="D88" s="1" t="n"/>
      <c r="E88" s="1" t="n"/>
      <c r="F88" s="4" t="n"/>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22">
      <c r="A89" s="1" t="n"/>
      <c r="B89" s="1" t="n"/>
      <c r="C89" s="1" t="n"/>
      <c r="D89" s="1" t="n"/>
      <c r="E89" s="1" t="n"/>
      <c r="F89" s="4" t="n"/>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22">
      <c r="A90" s="1" t="n"/>
      <c r="B90" s="1" t="n"/>
      <c r="C90" s="1" t="n"/>
      <c r="D90" s="1" t="n"/>
      <c r="E90" s="1" t="n"/>
      <c r="F90" s="4" t="n"/>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22">
      <c r="A91" s="1" t="n"/>
      <c r="B91" s="1" t="n"/>
      <c r="C91" s="1" t="n"/>
      <c r="D91" s="1" t="n"/>
      <c r="E91" s="1" t="n"/>
      <c r="F91" s="4" t="n"/>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22">
      <c r="A92" s="1" t="n"/>
      <c r="B92" s="1" t="n"/>
      <c r="C92" s="1" t="n"/>
      <c r="D92" s="1" t="n"/>
      <c r="E92" s="1" t="n"/>
      <c r="F92" s="4" t="n"/>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22">
      <c r="A93" s="1" t="n"/>
      <c r="B93" s="1" t="n"/>
      <c r="C93" s="1" t="n"/>
      <c r="D93" s="1" t="n"/>
      <c r="E93" s="1" t="n"/>
      <c r="F93" s="4" t="n"/>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22">
      <c r="A94" s="1" t="n"/>
      <c r="B94" s="1" t="n"/>
      <c r="C94" s="1" t="n"/>
      <c r="D94" s="1" t="n"/>
      <c r="E94" s="1" t="n"/>
      <c r="F94" s="4" t="n"/>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22">
      <c r="A95" s="1" t="n"/>
      <c r="B95" s="1" t="n"/>
      <c r="C95" s="1" t="n"/>
      <c r="D95" s="1" t="n"/>
      <c r="E95" s="1" t="n"/>
      <c r="F95" s="4" t="n"/>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22">
      <c r="A96" s="1" t="n"/>
      <c r="B96" s="1" t="n"/>
      <c r="C96" s="1" t="n"/>
      <c r="D96" s="1" t="n"/>
      <c r="E96" s="1" t="n"/>
      <c r="F96" s="4" t="n"/>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22">
      <c r="A97" s="1" t="n"/>
      <c r="B97" s="1" t="n"/>
      <c r="C97" s="1" t="n"/>
      <c r="D97" s="1" t="n"/>
      <c r="E97" s="1" t="n"/>
      <c r="F97" s="4" t="n"/>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22">
      <c r="A98" s="1" t="n"/>
      <c r="B98" s="1" t="n"/>
      <c r="C98" s="1" t="n"/>
      <c r="D98" s="1" t="n"/>
      <c r="E98" s="1" t="n"/>
      <c r="F98" s="4" t="n"/>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22">
      <c r="A99" s="1" t="n"/>
      <c r="B99" s="1" t="n"/>
      <c r="C99" s="1" t="n"/>
      <c r="D99" s="1" t="n"/>
      <c r="E99" s="1" t="n"/>
      <c r="F99" s="4" t="n"/>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22">
      <c r="A100" s="1" t="n"/>
      <c r="B100" s="1" t="n"/>
      <c r="C100" s="1" t="n"/>
      <c r="D100" s="1" t="n"/>
      <c r="E100" s="1" t="n"/>
      <c r="F100" s="4" t="n"/>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22">
      <c r="A101" s="1" t="n"/>
      <c r="B101" s="1" t="n"/>
      <c r="C101" s="1" t="n"/>
      <c r="D101" s="1" t="n"/>
      <c r="E101" s="1" t="n"/>
      <c r="F101" s="4" t="n"/>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22">
      <c r="A102" s="1" t="n"/>
      <c r="B102" s="1" t="n"/>
      <c r="C102" s="1" t="n"/>
      <c r="D102" s="1" t="n"/>
      <c r="E102" s="1" t="n"/>
      <c r="F102" s="4" t="n"/>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22">
      <c r="A103" s="1" t="n"/>
      <c r="B103" s="1" t="n"/>
      <c r="C103" s="1" t="n"/>
      <c r="D103" s="1" t="n"/>
      <c r="E103" s="1" t="n"/>
      <c r="F103" s="4" t="n"/>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22">
      <c r="A104" s="1" t="n"/>
      <c r="B104" s="1" t="n"/>
      <c r="C104" s="1" t="n"/>
      <c r="D104" s="1" t="n"/>
      <c r="E104" s="1" t="n"/>
      <c r="F104" s="4" t="n"/>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22">
      <c r="A105" s="1" t="n"/>
      <c r="B105" s="1" t="n"/>
      <c r="C105" s="1" t="n"/>
      <c r="D105" s="1" t="n"/>
      <c r="E105" s="1" t="n"/>
      <c r="F105" s="4" t="n"/>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22">
      <c r="A106" s="1" t="n"/>
      <c r="B106" s="1" t="n"/>
      <c r="C106" s="1" t="n"/>
      <c r="D106" s="1" t="n"/>
      <c r="E106" s="1" t="n"/>
      <c r="F106" s="4" t="n"/>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22">
      <c r="A107" s="1" t="n"/>
      <c r="B107" s="1" t="n"/>
      <c r="C107" s="1" t="n"/>
      <c r="D107" s="1" t="n"/>
      <c r="E107" s="1" t="n"/>
      <c r="F107" s="4" t="n"/>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22">
      <c r="A108" s="1" t="n"/>
      <c r="B108" s="1" t="n"/>
      <c r="C108" s="1" t="n"/>
      <c r="D108" s="1" t="n"/>
      <c r="E108" s="1" t="n"/>
      <c r="F108" s="4" t="n"/>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22">
      <c r="A109" s="1" t="n"/>
      <c r="B109" s="1" t="n"/>
      <c r="C109" s="1" t="n"/>
      <c r="D109" s="1" t="n"/>
      <c r="E109" s="1" t="n"/>
      <c r="F109" s="4" t="n"/>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22">
      <c r="A110" s="1" t="n"/>
      <c r="B110" s="1" t="n"/>
      <c r="C110" s="1" t="n"/>
      <c r="D110" s="1" t="n"/>
      <c r="E110" s="1" t="n"/>
      <c r="F110" s="4" t="n"/>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22">
      <c r="A111" s="1" t="n"/>
      <c r="B111" s="1" t="n"/>
      <c r="C111" s="1" t="n"/>
      <c r="D111" s="1" t="n"/>
      <c r="E111" s="1" t="n"/>
      <c r="F111" s="4" t="n"/>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22">
      <c r="A112" s="1" t="n"/>
      <c r="B112" s="1" t="n"/>
      <c r="C112" s="1" t="n"/>
      <c r="D112" s="1" t="n"/>
      <c r="E112" s="1" t="n"/>
      <c r="F112" s="4" t="n"/>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22">
      <c r="A113" s="1" t="n"/>
      <c r="B113" s="1" t="n"/>
      <c r="C113" s="1" t="n"/>
      <c r="D113" s="1" t="n"/>
      <c r="E113" s="1" t="n"/>
      <c r="F113" s="4" t="n"/>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22">
      <c r="A114" s="1" t="n"/>
      <c r="B114" s="1" t="n"/>
      <c r="C114" s="1" t="n"/>
      <c r="D114" s="1" t="n"/>
      <c r="E114" s="1" t="n"/>
      <c r="F114" s="4" t="n"/>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22">
      <c r="A115" s="1" t="n"/>
      <c r="B115" s="1" t="n"/>
      <c r="C115" s="1" t="n"/>
      <c r="D115" s="1" t="n"/>
      <c r="E115" s="1" t="n"/>
      <c r="F115" s="4" t="n"/>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22">
      <c r="A116" s="1" t="n"/>
      <c r="B116" s="1" t="n"/>
      <c r="C116" s="1" t="n"/>
      <c r="D116" s="1" t="n"/>
      <c r="E116" s="1" t="n"/>
      <c r="F116" s="4" t="n"/>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22">
      <c r="A117" s="1" t="n"/>
      <c r="B117" s="1" t="n"/>
      <c r="C117" s="1" t="n"/>
      <c r="D117" s="1" t="n"/>
      <c r="E117" s="1" t="n"/>
      <c r="F117" s="4" t="n"/>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22">
      <c r="A118" s="1" t="n"/>
      <c r="B118" s="1" t="n"/>
      <c r="C118" s="1" t="n"/>
      <c r="D118" s="1" t="n"/>
      <c r="E118" s="1" t="n"/>
      <c r="F118" s="4" t="n"/>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22">
      <c r="A119" s="1" t="n"/>
      <c r="B119" s="1" t="n"/>
      <c r="C119" s="1" t="n"/>
      <c r="D119" s="1" t="n"/>
      <c r="E119" s="1" t="n"/>
      <c r="F119" s="4" t="n"/>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22">
      <c r="A120" s="1" t="n"/>
      <c r="B120" s="1" t="n"/>
      <c r="C120" s="1" t="n"/>
      <c r="D120" s="1" t="n"/>
      <c r="E120" s="1" t="n"/>
      <c r="F120" s="4" t="n"/>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22">
      <c r="A121" s="1" t="n"/>
      <c r="B121" s="1" t="n"/>
      <c r="C121" s="1" t="n"/>
      <c r="D121" s="1" t="n"/>
      <c r="E121" s="1" t="n"/>
      <c r="F121" s="4" t="n"/>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22">
      <c r="A122" s="1" t="n"/>
      <c r="B122" s="1" t="n"/>
      <c r="C122" s="1" t="n"/>
      <c r="D122" s="1" t="n"/>
      <c r="E122" s="1" t="n"/>
      <c r="F122" s="4" t="n"/>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22">
      <c r="A123" s="1" t="n"/>
      <c r="B123" s="1" t="n"/>
      <c r="C123" s="1" t="n"/>
      <c r="D123" s="1" t="n"/>
      <c r="E123" s="1" t="n"/>
      <c r="F123" s="4" t="n"/>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22">
      <c r="A124" s="1" t="n"/>
      <c r="B124" s="1" t="n"/>
      <c r="C124" s="1" t="n"/>
      <c r="D124" s="1" t="n"/>
      <c r="E124" s="1" t="n"/>
      <c r="F124" s="4" t="n"/>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22">
      <c r="A125" s="1" t="n"/>
      <c r="B125" s="1" t="n"/>
      <c r="C125" s="1" t="n"/>
      <c r="D125" s="1" t="n"/>
      <c r="E125" s="1" t="n"/>
      <c r="F125" s="4" t="n"/>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22">
      <c r="A126" s="1" t="n"/>
      <c r="B126" s="1" t="n"/>
      <c r="C126" s="1" t="n"/>
      <c r="D126" s="1" t="n"/>
      <c r="E126" s="1" t="n"/>
      <c r="F126" s="4" t="n"/>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22">
      <c r="A127" s="1" t="n"/>
      <c r="B127" s="1" t="n"/>
      <c r="C127" s="1" t="n"/>
      <c r="D127" s="1" t="n"/>
      <c r="E127" s="1" t="n"/>
      <c r="F127" s="4" t="n"/>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22">
      <c r="A128" s="1" t="n"/>
      <c r="B128" s="1" t="n"/>
      <c r="C128" s="1" t="n"/>
      <c r="D128" s="1" t="n"/>
      <c r="E128" s="1" t="n"/>
      <c r="F128" s="4" t="n"/>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22">
      <c r="A129" s="1" t="n"/>
      <c r="B129" s="1" t="n"/>
      <c r="C129" s="1" t="n"/>
      <c r="D129" s="1" t="n"/>
      <c r="E129" s="1" t="n"/>
      <c r="F129" s="4" t="n"/>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22">
      <c r="A130" s="1" t="n"/>
      <c r="B130" s="1" t="n"/>
      <c r="C130" s="1" t="n"/>
      <c r="D130" s="1" t="n"/>
      <c r="E130" s="1" t="n"/>
      <c r="F130" s="4" t="n"/>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22">
      <c r="A131" s="1" t="n"/>
      <c r="B131" s="1" t="n"/>
      <c r="C131" s="1" t="n"/>
      <c r="D131" s="1" t="n"/>
      <c r="E131" s="1" t="n"/>
      <c r="F131" s="4" t="n"/>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22">
      <c r="A132" s="1" t="n"/>
      <c r="B132" s="1" t="n"/>
      <c r="C132" s="1" t="n"/>
      <c r="D132" s="1" t="n"/>
      <c r="E132" s="1" t="n"/>
      <c r="F132" s="4" t="n"/>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22">
      <c r="A133" s="1" t="n"/>
      <c r="B133" s="1" t="n"/>
      <c r="C133" s="1" t="n"/>
      <c r="D133" s="1" t="n"/>
      <c r="E133" s="1" t="n"/>
      <c r="F133" s="4" t="n"/>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22">
      <c r="A134" s="1" t="n"/>
      <c r="B134" s="1" t="n"/>
      <c r="C134" s="1" t="n"/>
      <c r="D134" s="1" t="n"/>
      <c r="E134" s="1" t="n"/>
      <c r="F134" s="4" t="n"/>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22">
      <c r="A135" s="1" t="n"/>
      <c r="B135" s="1" t="n"/>
      <c r="C135" s="1" t="n"/>
      <c r="D135" s="1" t="n"/>
      <c r="E135" s="1" t="n"/>
      <c r="F135" s="4" t="n"/>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22">
      <c r="A136" s="1" t="n"/>
      <c r="B136" s="1" t="n"/>
      <c r="C136" s="1" t="n"/>
      <c r="D136" s="1" t="n"/>
      <c r="E136" s="1" t="n"/>
      <c r="F136" s="4" t="n"/>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22">
      <c r="A137" s="1" t="n"/>
      <c r="B137" s="1" t="n"/>
      <c r="C137" s="1" t="n"/>
      <c r="D137" s="1" t="n"/>
      <c r="E137" s="1" t="n"/>
      <c r="F137" s="4" t="n"/>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22">
      <c r="A138" s="1" t="n"/>
      <c r="B138" s="1" t="n"/>
      <c r="C138" s="1" t="n"/>
      <c r="D138" s="1" t="n"/>
      <c r="E138" s="1" t="n"/>
      <c r="F138" s="4" t="n"/>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22">
      <c r="A139" s="1" t="n"/>
      <c r="B139" s="1" t="n"/>
      <c r="C139" s="1" t="n"/>
      <c r="D139" s="1" t="n"/>
      <c r="E139" s="1" t="n"/>
      <c r="F139" s="4" t="n"/>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22">
      <c r="A140" s="1" t="n"/>
      <c r="B140" s="1" t="n"/>
      <c r="C140" s="1" t="n"/>
      <c r="D140" s="1" t="n"/>
      <c r="E140" s="1" t="n"/>
      <c r="F140" s="4" t="n"/>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22">
      <c r="A141" s="1" t="n"/>
      <c r="B141" s="1" t="n"/>
      <c r="C141" s="1" t="n"/>
      <c r="D141" s="1" t="n"/>
      <c r="E141" s="1" t="n"/>
      <c r="F141" s="4" t="n"/>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22">
      <c r="A142" s="1" t="n"/>
      <c r="B142" s="1" t="n"/>
      <c r="C142" s="1" t="n"/>
      <c r="D142" s="1" t="n"/>
      <c r="E142" s="1" t="n"/>
      <c r="F142" s="4" t="n"/>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22">
      <c r="A143" s="1" t="n"/>
      <c r="B143" s="1" t="n"/>
      <c r="C143" s="1" t="n"/>
      <c r="D143" s="1" t="n"/>
      <c r="E143" s="1" t="n"/>
      <c r="F143" s="4" t="n"/>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22">
      <c r="A144" s="1" t="n"/>
      <c r="B144" s="1" t="n"/>
      <c r="C144" s="1" t="n"/>
      <c r="D144" s="1" t="n"/>
      <c r="E144" s="1" t="n"/>
      <c r="F144" s="4" t="n"/>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22">
      <c r="A145" s="1" t="n"/>
      <c r="B145" s="1" t="n"/>
      <c r="C145" s="1" t="n"/>
      <c r="D145" s="1" t="n"/>
      <c r="E145" s="1" t="n"/>
      <c r="F145" s="4" t="n"/>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22">
      <c r="A146" s="1" t="n"/>
      <c r="B146" s="1" t="n"/>
      <c r="C146" s="1" t="n"/>
      <c r="D146" s="1" t="n"/>
      <c r="E146" s="1" t="n"/>
      <c r="F146" s="4" t="n"/>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22">
      <c r="A147" s="1" t="n"/>
      <c r="B147" s="1" t="n"/>
      <c r="C147" s="1" t="n"/>
      <c r="D147" s="1" t="n"/>
      <c r="E147" s="1" t="n"/>
      <c r="F147" s="4" t="n"/>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22">
      <c r="A148" s="1" t="n"/>
      <c r="B148" s="1" t="n"/>
      <c r="C148" s="1" t="n"/>
      <c r="D148" s="1" t="n"/>
      <c r="E148" s="1" t="n"/>
      <c r="F148" s="4" t="n"/>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22">
      <c r="A149" s="1" t="n"/>
      <c r="B149" s="1" t="n"/>
      <c r="C149" s="1" t="n"/>
      <c r="D149" s="1" t="n"/>
      <c r="E149" s="1" t="n"/>
      <c r="F149" s="4" t="n"/>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22">
      <c r="A150" s="1" t="n"/>
      <c r="B150" s="1" t="n"/>
      <c r="C150" s="1" t="n"/>
      <c r="D150" s="1" t="n"/>
      <c r="E150" s="1" t="n"/>
      <c r="F150" s="4" t="n"/>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22">
      <c r="A151" s="1" t="n"/>
      <c r="B151" s="1" t="n"/>
      <c r="C151" s="1" t="n"/>
      <c r="D151" s="1" t="n"/>
      <c r="E151" s="1" t="n"/>
      <c r="F151" s="4" t="n"/>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22">
      <c r="A152" s="1" t="n"/>
      <c r="B152" s="1" t="n"/>
      <c r="C152" s="1" t="n"/>
      <c r="D152" s="1" t="n"/>
      <c r="E152" s="1" t="n"/>
      <c r="F152" s="4" t="n"/>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22">
      <c r="A153" s="1" t="n"/>
      <c r="B153" s="1" t="n"/>
      <c r="C153" s="1" t="n"/>
      <c r="D153" s="1" t="n"/>
      <c r="E153" s="1" t="n"/>
      <c r="F153" s="4" t="n"/>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22">
      <c r="A154" s="1" t="n"/>
      <c r="B154" s="1" t="n"/>
      <c r="C154" s="1" t="n"/>
      <c r="D154" s="1" t="n"/>
      <c r="E154" s="1" t="n"/>
      <c r="F154" s="4" t="n"/>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22">
      <c r="A155" s="1" t="n"/>
      <c r="B155" s="1" t="n"/>
      <c r="C155" s="1" t="n"/>
      <c r="D155" s="1" t="n"/>
      <c r="E155" s="1" t="n"/>
      <c r="F155" s="4" t="n"/>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22">
      <c r="A156" s="1" t="n"/>
      <c r="B156" s="1" t="n"/>
      <c r="C156" s="1" t="n"/>
      <c r="D156" s="1" t="n"/>
      <c r="E156" s="1" t="n"/>
      <c r="F156" s="4" t="n"/>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22">
      <c r="A157" s="1" t="n"/>
      <c r="B157" s="1" t="n"/>
      <c r="C157" s="1" t="n"/>
      <c r="D157" s="1" t="n"/>
      <c r="E157" s="1" t="n"/>
      <c r="F157" s="4" t="n"/>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22">
      <c r="A158" s="1" t="n"/>
      <c r="B158" s="1" t="n"/>
      <c r="C158" s="1" t="n"/>
      <c r="D158" s="1" t="n"/>
      <c r="E158" s="1" t="n"/>
      <c r="F158" s="4" t="n"/>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22">
      <c r="A159" s="1" t="n"/>
      <c r="B159" s="1" t="n"/>
      <c r="C159" s="1" t="n"/>
      <c r="D159" s="1" t="n"/>
      <c r="E159" s="1" t="n"/>
      <c r="F159" s="4" t="n"/>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22">
      <c r="A160" s="1" t="n"/>
      <c r="B160" s="1" t="n"/>
      <c r="C160" s="1" t="n"/>
      <c r="D160" s="1" t="n"/>
      <c r="E160" s="1" t="n"/>
      <c r="F160" s="4" t="n"/>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22">
      <c r="A161" s="1" t="n"/>
      <c r="B161" s="1" t="n"/>
      <c r="C161" s="1" t="n"/>
      <c r="D161" s="1" t="n"/>
      <c r="E161" s="1" t="n"/>
      <c r="F161" s="4" t="n"/>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22">
      <c r="A162" s="1" t="n"/>
      <c r="B162" s="1" t="n"/>
      <c r="C162" s="1" t="n"/>
      <c r="D162" s="1" t="n"/>
      <c r="E162" s="1" t="n"/>
      <c r="F162" s="4" t="n"/>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22">
      <c r="A163" s="1" t="n"/>
      <c r="B163" s="1" t="n"/>
      <c r="C163" s="1" t="n"/>
      <c r="D163" s="1" t="n"/>
      <c r="E163" s="1" t="n"/>
      <c r="F163" s="4" t="n"/>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22">
      <c r="A164" s="1" t="n"/>
      <c r="B164" s="1" t="n"/>
      <c r="C164" s="1" t="n"/>
      <c r="D164" s="1" t="n"/>
      <c r="E164" s="1" t="n"/>
      <c r="F164" s="4" t="n"/>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22">
      <c r="A165" s="1" t="n"/>
      <c r="B165" s="1" t="n"/>
      <c r="C165" s="1" t="n"/>
      <c r="D165" s="1" t="n"/>
      <c r="E165" s="1" t="n"/>
      <c r="F165" s="4" t="n"/>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22">
      <c r="A166" s="1" t="n"/>
      <c r="B166" s="1" t="n"/>
      <c r="C166" s="1" t="n"/>
      <c r="D166" s="1" t="n"/>
      <c r="E166" s="1" t="n"/>
      <c r="F166" s="4" t="n"/>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22">
      <c r="A167" s="1" t="n"/>
      <c r="B167" s="1" t="n"/>
      <c r="C167" s="1" t="n"/>
      <c r="D167" s="1" t="n"/>
      <c r="E167" s="1" t="n"/>
      <c r="F167" s="4" t="n"/>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22">
      <c r="A168" s="1" t="n"/>
      <c r="B168" s="1" t="n"/>
      <c r="C168" s="1" t="n"/>
      <c r="D168" s="1" t="n"/>
      <c r="E168" s="1" t="n"/>
      <c r="F168" s="4" t="n"/>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22">
      <c r="A169" s="1" t="n"/>
      <c r="B169" s="1" t="n"/>
      <c r="C169" s="1" t="n"/>
      <c r="D169" s="1" t="n"/>
      <c r="E169" s="1" t="n"/>
      <c r="F169" s="4" t="n"/>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22">
      <c r="A170" s="1" t="n"/>
      <c r="B170" s="1" t="n"/>
      <c r="C170" s="1" t="n"/>
      <c r="D170" s="1" t="n"/>
      <c r="E170" s="1" t="n"/>
      <c r="F170" s="4" t="n"/>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22">
      <c r="A171" s="1" t="n"/>
      <c r="B171" s="1" t="n"/>
      <c r="C171" s="1" t="n"/>
      <c r="D171" s="1" t="n"/>
      <c r="E171" s="1" t="n"/>
      <c r="F171" s="4" t="n"/>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22">
      <c r="A172" s="1" t="n"/>
      <c r="B172" s="1" t="n"/>
      <c r="C172" s="1" t="n"/>
      <c r="D172" s="1" t="n"/>
      <c r="E172" s="1" t="n"/>
      <c r="F172" s="4" t="n"/>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22">
      <c r="A173" s="1" t="n"/>
      <c r="B173" s="1" t="n"/>
      <c r="C173" s="1" t="n"/>
      <c r="D173" s="1" t="n"/>
      <c r="E173" s="1" t="n"/>
      <c r="F173" s="4" t="n"/>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22">
      <c r="A174" s="1" t="n"/>
      <c r="B174" s="1" t="n"/>
      <c r="C174" s="1" t="n"/>
      <c r="D174" s="1" t="n"/>
      <c r="E174" s="1" t="n"/>
      <c r="F174" s="4" t="n"/>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22">
      <c r="A175" s="1" t="n"/>
      <c r="B175" s="1" t="n"/>
      <c r="C175" s="1" t="n"/>
      <c r="D175" s="1" t="n"/>
      <c r="E175" s="1" t="n"/>
      <c r="F175" s="4" t="n"/>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22">
      <c r="A176" s="1" t="n"/>
      <c r="B176" s="1" t="n"/>
      <c r="C176" s="1" t="n"/>
      <c r="D176" s="1" t="n"/>
      <c r="E176" s="1" t="n"/>
      <c r="F176" s="4" t="n"/>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22">
      <c r="A177" s="1" t="n"/>
      <c r="B177" s="1" t="n"/>
      <c r="C177" s="1" t="n"/>
      <c r="D177" s="1" t="n"/>
      <c r="E177" s="1"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22">
      <c r="A178" s="1" t="n"/>
      <c r="B178" s="1" t="n"/>
      <c r="C178" s="1" t="n"/>
      <c r="D178" s="1" t="n"/>
      <c r="E178" s="1" t="n"/>
      <c r="F178" s="4" t="n"/>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22">
      <c r="A179" s="1" t="n"/>
      <c r="B179" s="1" t="n"/>
      <c r="C179" s="1" t="n"/>
      <c r="D179" s="1" t="n"/>
      <c r="E179" s="1" t="n"/>
      <c r="F179" s="4" t="n"/>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22">
      <c r="A180" s="1" t="n"/>
      <c r="B180" s="1" t="n"/>
      <c r="C180" s="1" t="n"/>
      <c r="D180" s="1" t="n"/>
      <c r="E180" s="1" t="n"/>
      <c r="F180" s="4" t="n"/>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22">
      <c r="A181" s="1" t="n"/>
      <c r="B181" s="1" t="n"/>
      <c r="C181" s="1" t="n"/>
      <c r="D181" s="1" t="n"/>
      <c r="E181" s="1" t="n"/>
      <c r="F181" s="4" t="n"/>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22">
      <c r="A182" s="1" t="n"/>
      <c r="B182" s="1" t="n"/>
      <c r="C182" s="1" t="n"/>
      <c r="D182" s="1" t="n"/>
      <c r="E182" s="1" t="n"/>
      <c r="F182" s="4" t="n"/>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22">
      <c r="A183" s="1" t="n"/>
      <c r="B183" s="1" t="n"/>
      <c r="C183" s="1" t="n"/>
      <c r="D183" s="1" t="n"/>
      <c r="E183" s="1" t="n"/>
      <c r="F183" s="4" t="n"/>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22">
      <c r="A184" s="1" t="n"/>
      <c r="B184" s="1" t="n"/>
      <c r="C184" s="1" t="n"/>
      <c r="D184" s="1" t="n"/>
      <c r="E184" s="1" t="n"/>
      <c r="F184" s="4" t="n"/>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22">
      <c r="A185" s="1" t="n"/>
      <c r="B185" s="1" t="n"/>
      <c r="C185" s="1" t="n"/>
      <c r="D185" s="1" t="n"/>
      <c r="E185" s="1" t="n"/>
      <c r="F185" s="4" t="n"/>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22">
      <c r="A186" s="1" t="n"/>
      <c r="B186" s="1" t="n"/>
      <c r="C186" s="1" t="n"/>
      <c r="D186" s="1" t="n"/>
      <c r="E186" s="1" t="n"/>
      <c r="F186" s="4" t="n"/>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22">
      <c r="A187" s="1" t="n"/>
      <c r="B187" s="1" t="n"/>
      <c r="C187" s="1" t="n"/>
      <c r="D187" s="1" t="n"/>
      <c r="E187" s="1" t="n"/>
      <c r="F187" s="4" t="n"/>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22">
      <c r="A188" s="1" t="n"/>
      <c r="B188" s="1" t="n"/>
      <c r="C188" s="1" t="n"/>
      <c r="D188" s="1" t="n"/>
      <c r="E188" s="1" t="n"/>
      <c r="F188" s="4" t="n"/>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22">
      <c r="A189" s="1" t="n"/>
      <c r="B189" s="1" t="n"/>
      <c r="C189" s="1" t="n"/>
      <c r="D189" s="1" t="n"/>
      <c r="E189" s="1" t="n"/>
      <c r="F189" s="4" t="n"/>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22">
      <c r="A190" s="1" t="n"/>
      <c r="B190" s="1" t="n"/>
      <c r="C190" s="1" t="n"/>
      <c r="D190" s="1" t="n"/>
      <c r="E190" s="1" t="n"/>
      <c r="F190" s="4" t="n"/>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22">
      <c r="A191" s="1" t="n"/>
      <c r="B191" s="1" t="n"/>
      <c r="C191" s="1" t="n"/>
      <c r="D191" s="1" t="n"/>
      <c r="E191" s="1" t="n"/>
      <c r="F191" s="4" t="n"/>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22">
      <c r="A192" s="1" t="n"/>
      <c r="B192" s="1" t="n"/>
      <c r="C192" s="1" t="n"/>
      <c r="D192" s="1" t="n"/>
      <c r="E192" s="1" t="n"/>
      <c r="F192" s="4" t="n"/>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22">
      <c r="A193" s="1" t="n"/>
      <c r="B193" s="1" t="n"/>
      <c r="C193" s="1" t="n"/>
      <c r="D193" s="1" t="n"/>
      <c r="E193" s="1" t="n"/>
      <c r="F193" s="4" t="n"/>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22">
      <c r="A194" s="1" t="n"/>
      <c r="B194" s="1" t="n"/>
      <c r="C194" s="1" t="n"/>
      <c r="D194" s="1" t="n"/>
      <c r="E194" s="1" t="n"/>
      <c r="F194" s="4" t="n"/>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22">
      <c r="A195" s="1" t="n"/>
      <c r="B195" s="1" t="n"/>
      <c r="C195" s="1" t="n"/>
      <c r="D195" s="1" t="n"/>
      <c r="E195" s="1" t="n"/>
      <c r="F195" s="4" t="n"/>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22">
      <c r="A196" s="1" t="n"/>
      <c r="B196" s="1" t="n"/>
      <c r="C196" s="1" t="n"/>
      <c r="D196" s="1" t="n"/>
      <c r="E196" s="1" t="n"/>
      <c r="F196" s="4" t="n"/>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22">
      <c r="A197" s="1" t="n"/>
      <c r="B197" s="1" t="n"/>
      <c r="C197" s="1" t="n"/>
      <c r="D197" s="1" t="n"/>
      <c r="E197" s="1" t="n"/>
      <c r="F197" s="4" t="n"/>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22">
      <c r="A198" s="1" t="n"/>
      <c r="B198" s="1" t="n"/>
      <c r="C198" s="1" t="n"/>
      <c r="D198" s="1" t="n"/>
      <c r="E198" s="1" t="n"/>
      <c r="F198" s="4" t="n"/>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22">
      <c r="A199" s="1" t="n"/>
      <c r="B199" s="1" t="n"/>
      <c r="C199" s="1" t="n"/>
      <c r="D199" s="1" t="n"/>
      <c r="E199" s="1" t="n"/>
      <c r="F199" s="4" t="n"/>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22">
      <c r="A200" s="1" t="n"/>
      <c r="B200" s="1" t="n"/>
      <c r="C200" s="1" t="n"/>
      <c r="D200" s="1" t="n"/>
      <c r="E200" s="1" t="n"/>
      <c r="F200" s="4" t="n"/>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22">
      <c r="A201" s="1" t="n"/>
      <c r="B201" s="1" t="n"/>
      <c r="C201" s="1" t="n"/>
      <c r="D201" s="1" t="n"/>
      <c r="E201" s="1" t="n"/>
      <c r="F201" s="4" t="n"/>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22">
      <c r="A202" s="1" t="n"/>
      <c r="B202" s="1" t="n"/>
      <c r="C202" s="1" t="n"/>
      <c r="D202" s="1" t="n"/>
      <c r="E202" s="1" t="n"/>
      <c r="F202" s="4" t="n"/>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22">
      <c r="A203" s="1" t="n"/>
      <c r="B203" s="1" t="n"/>
      <c r="C203" s="1" t="n"/>
      <c r="D203" s="1" t="n"/>
      <c r="E203" s="1" t="n"/>
      <c r="F203" s="4" t="n"/>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22">
      <c r="A204" s="1" t="n"/>
      <c r="B204" s="1" t="n"/>
      <c r="C204" s="1" t="n"/>
      <c r="D204" s="1" t="n"/>
      <c r="E204" s="1" t="n"/>
      <c r="F204" s="4" t="n"/>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22">
      <c r="A205" s="1" t="n"/>
      <c r="B205" s="1" t="n"/>
      <c r="C205" s="1" t="n"/>
      <c r="D205" s="1" t="n"/>
      <c r="E205" s="1" t="n"/>
      <c r="F205" s="4" t="n"/>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22">
      <c r="A206" s="1" t="n"/>
      <c r="B206" s="1" t="n"/>
      <c r="C206" s="1" t="n"/>
      <c r="D206" s="1" t="n"/>
      <c r="E206" s="1" t="n"/>
      <c r="F206" s="4" t="n"/>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22">
      <c r="A207" s="1" t="n"/>
      <c r="B207" s="1" t="n"/>
      <c r="C207" s="1" t="n"/>
      <c r="D207" s="1" t="n"/>
      <c r="E207" s="1" t="n"/>
      <c r="F207" s="4" t="n"/>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22">
      <c r="A208" s="1" t="n"/>
      <c r="B208" s="1" t="n"/>
      <c r="C208" s="1" t="n"/>
      <c r="D208" s="1" t="n"/>
      <c r="E208" s="1" t="n"/>
      <c r="F208" s="4" t="n"/>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22">
      <c r="A209" s="1" t="n"/>
      <c r="B209" s="1" t="n"/>
      <c r="C209" s="1" t="n"/>
      <c r="D209" s="1" t="n"/>
      <c r="E209" s="1" t="n"/>
      <c r="F209" s="4" t="n"/>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22">
      <c r="A210" s="1" t="n"/>
      <c r="B210" s="1" t="n"/>
      <c r="C210" s="1" t="n"/>
      <c r="D210" s="1" t="n"/>
      <c r="E210" s="1" t="n"/>
      <c r="F210" s="4" t="n"/>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22">
      <c r="A211" s="1" t="n"/>
      <c r="B211" s="1" t="n"/>
      <c r="C211" s="1" t="n"/>
      <c r="D211" s="1" t="n"/>
      <c r="E211" s="1" t="n"/>
      <c r="F211" s="4" t="n"/>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22">
      <c r="A212" s="1" t="n"/>
      <c r="B212" s="1" t="n"/>
      <c r="C212" s="1" t="n"/>
      <c r="D212" s="1" t="n"/>
      <c r="E212" s="1" t="n"/>
      <c r="F212" s="4" t="n"/>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22">
      <c r="A213" s="1" t="n"/>
      <c r="B213" s="1" t="n"/>
      <c r="C213" s="1" t="n"/>
      <c r="D213" s="1" t="n"/>
      <c r="E213" s="1" t="n"/>
      <c r="F213" s="4" t="n"/>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22">
      <c r="A214" s="1" t="n"/>
      <c r="B214" s="1" t="n"/>
      <c r="C214" s="1" t="n"/>
      <c r="D214" s="1" t="n"/>
      <c r="E214" s="1" t="n"/>
      <c r="F214" s="4" t="n"/>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22">
      <c r="A215" s="1" t="n"/>
      <c r="B215" s="1" t="n"/>
      <c r="C215" s="1" t="n"/>
      <c r="D215" s="1" t="n"/>
      <c r="E215" s="1" t="n"/>
      <c r="F215" s="4" t="n"/>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22">
      <c r="A216" s="1" t="n"/>
      <c r="B216" s="1" t="n"/>
      <c r="C216" s="1" t="n"/>
      <c r="D216" s="1" t="n"/>
      <c r="E216" s="1" t="n"/>
      <c r="F216" s="4" t="n"/>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22">
      <c r="A217" s="1" t="n"/>
      <c r="B217" s="1" t="n"/>
      <c r="C217" s="1" t="n"/>
      <c r="D217" s="1" t="n"/>
      <c r="E217" s="1" t="n"/>
      <c r="F217" s="4" t="n"/>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22">
      <c r="A218" s="1" t="n"/>
      <c r="B218" s="1" t="n"/>
      <c r="C218" s="1" t="n"/>
      <c r="D218" s="1" t="n"/>
      <c r="E218" s="1" t="n"/>
      <c r="F218" s="4" t="n"/>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22">
      <c r="A219" s="1" t="n"/>
      <c r="B219" s="1" t="n"/>
      <c r="C219" s="1" t="n"/>
      <c r="D219" s="1" t="n"/>
      <c r="E219" s="1" t="n"/>
      <c r="F219" s="4" t="n"/>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22">
      <c r="A220" s="1" t="n"/>
      <c r="B220" s="1" t="n"/>
      <c r="C220" s="1" t="n"/>
      <c r="D220" s="1" t="n"/>
      <c r="E220" s="1" t="n"/>
      <c r="F220" s="4" t="n"/>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22">
      <c r="A221" s="1" t="n"/>
      <c r="B221" s="1" t="n"/>
      <c r="C221" s="1" t="n"/>
      <c r="D221" s="1" t="n"/>
      <c r="E221" s="1" t="n"/>
      <c r="F221" s="4" t="n"/>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22">
      <c r="A222" s="1" t="n"/>
      <c r="B222" s="1" t="n"/>
      <c r="C222" s="1" t="n"/>
      <c r="D222" s="1" t="n"/>
      <c r="E222" s="1" t="n"/>
      <c r="F222" s="4" t="n"/>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22">
      <c r="A223" s="1" t="n"/>
      <c r="B223" s="1" t="n"/>
      <c r="C223" s="1" t="n"/>
      <c r="D223" s="1" t="n"/>
      <c r="E223" s="1" t="n"/>
      <c r="F223" s="4" t="n"/>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22">
      <c r="A224" s="1" t="n"/>
      <c r="B224" s="1" t="n"/>
      <c r="C224" s="1" t="n"/>
      <c r="D224" s="1" t="n"/>
      <c r="E224" s="1" t="n"/>
      <c r="F224" s="4" t="n"/>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22">
      <c r="A225" s="1" t="n"/>
      <c r="B225" s="1" t="n"/>
      <c r="C225" s="1" t="n"/>
      <c r="D225" s="1" t="n"/>
      <c r="E225" s="1" t="n"/>
      <c r="F225" s="4" t="n"/>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22">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22">
      <c r="A227" s="4" t="n"/>
      <c r="B227" s="4" t="n"/>
      <c r="C227" s="4" t="n"/>
      <c r="D227" s="4" t="n"/>
      <c r="E227" s="4" t="n"/>
      <c r="F227" s="4" t="n"/>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22">
      <c r="A228" s="4" t="n"/>
      <c r="B228" s="4" t="n"/>
      <c r="C228" s="4" t="n"/>
      <c r="D228" s="4" t="n"/>
      <c r="E228" s="4" t="n"/>
      <c r="F228" s="4" t="n"/>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22">
      <c r="A229" s="4" t="n"/>
      <c r="B229" s="4" t="n"/>
      <c r="C229" s="4" t="n"/>
      <c r="D229" s="4" t="n"/>
      <c r="E229" s="4"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22">
      <c r="A230" s="4" t="n"/>
      <c r="B230" s="4" t="n"/>
      <c r="C230" s="4" t="n"/>
      <c r="D230" s="4" t="n"/>
      <c r="E230" s="4"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22">
      <c r="A231" s="4" t="n"/>
      <c r="B231" s="4" t="n"/>
      <c r="C231" s="4" t="n"/>
      <c r="D231" s="4" t="n"/>
      <c r="E231" s="4"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22">
      <c r="A232" s="4" t="n"/>
      <c r="B232" s="4" t="n"/>
      <c r="C232" s="4" t="n"/>
      <c r="D232" s="4" t="n"/>
      <c r="E232" s="4"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22">
      <c r="A233" s="4" t="n"/>
      <c r="B233" s="4" t="n"/>
      <c r="C233" s="4" t="n"/>
      <c r="D233" s="4" t="n"/>
      <c r="E233" s="4"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22">
      <c r="A234" s="4" t="n"/>
      <c r="B234" s="4" t="n"/>
      <c r="C234" s="4" t="n"/>
      <c r="D234" s="4" t="n"/>
      <c r="E234" s="4" t="n"/>
      <c r="F234" s="4" t="n"/>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22">
      <c r="A235" s="4" t="n"/>
      <c r="B235" s="4" t="n"/>
      <c r="C235" s="4" t="n"/>
      <c r="D235" s="4" t="n"/>
      <c r="E235" s="4" t="n"/>
      <c r="F235" s="4" t="n"/>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22">
      <c r="A236" s="4" t="n"/>
      <c r="B236" s="4" t="n"/>
      <c r="C236" s="4" t="n"/>
      <c r="D236" s="4" t="n"/>
      <c r="E236" s="4" t="n"/>
      <c r="F236" s="4" t="n"/>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22">
      <c r="A237" s="4" t="n"/>
      <c r="B237" s="4" t="n"/>
      <c r="C237" s="4" t="n"/>
      <c r="D237" s="4" t="n"/>
      <c r="E237" s="4" t="n"/>
      <c r="F237" s="4" t="n"/>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22">
      <c r="A238" s="4" t="n"/>
      <c r="B238" s="4" t="n"/>
      <c r="C238" s="4" t="n"/>
      <c r="D238" s="4" t="n"/>
      <c r="E238" s="4" t="n"/>
      <c r="F238" s="4" t="n"/>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22">
      <c r="A239" s="4" t="n"/>
      <c r="B239" s="4" t="n"/>
      <c r="C239" s="4" t="n"/>
      <c r="D239" s="4" t="n"/>
      <c r="E239" s="4" t="n"/>
      <c r="F239" s="4" t="n"/>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22">
      <c r="A240" s="4" t="n"/>
      <c r="B240" s="4" t="n"/>
      <c r="C240" s="4" t="n"/>
      <c r="D240" s="4" t="n"/>
      <c r="E240" s="4" t="n"/>
      <c r="F240" s="4" t="n"/>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22">
      <c r="A241" s="4" t="n"/>
      <c r="B241" s="4" t="n"/>
      <c r="C241" s="4" t="n"/>
      <c r="D241" s="4" t="n"/>
      <c r="E241" s="4" t="n"/>
      <c r="F241" s="4" t="n"/>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22">
      <c r="A242" s="4" t="n"/>
      <c r="B242" s="4" t="n"/>
      <c r="C242" s="4" t="n"/>
      <c r="D242" s="4" t="n"/>
      <c r="E242" s="4" t="n"/>
      <c r="F242" s="4" t="n"/>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22">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22">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22">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22">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22">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22">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22">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22">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22">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22">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22">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22">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22">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22">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22">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22">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22">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22">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22">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22">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22">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22">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22">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22">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22">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22">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22">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22">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22">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22">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22">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22">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22">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22">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22">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22">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22">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22">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22">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22">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22">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22">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22">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22">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22">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22">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22">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22">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22">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22">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22">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22">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22">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22">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22">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22">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22">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22">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22">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22">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22">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22">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22">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22">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22">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22">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22">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22">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22">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22">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22">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22">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22">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22">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22">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22">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22">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22">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22">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22">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22">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22">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22">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22">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22">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22">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22">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22">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22">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22">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22">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22">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22">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22">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22">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22">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22">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22">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22">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22">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22">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22">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22">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22">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22">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22">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22">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22">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22">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22">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22">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22">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22">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22">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22">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22">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22">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22">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22">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22">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22">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22">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22">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22">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22">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22">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22">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22">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22">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22">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22">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22">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22">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22">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22">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22">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22">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22">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22">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22">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22">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22">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22">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22">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22">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22">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22">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22">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22">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22">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22">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22">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22">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22">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22">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22">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22">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22">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22">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22">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22">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22">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22">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22">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22">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22">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22">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22">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22">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22">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22">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22">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22">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22">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22">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22">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22">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22">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22">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22">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22">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22">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22">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22">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22">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22">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22">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22">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22">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22">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22">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22">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22">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22">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22">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22">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22">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22">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22">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22">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22">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22">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22">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22">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22">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22">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22">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22">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22">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22">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22">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22">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22">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22">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22">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22">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22">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22">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22">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22">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22">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22">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22">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22">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22">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22">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22">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22">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22">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22">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22">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22">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22">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22">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22">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22">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22">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22">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22">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22">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22">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22">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22">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22">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22">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22">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22">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22">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22">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22">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22">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22">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22">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22">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22">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22">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22">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22">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22">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22">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22">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22">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22">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22">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22">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22">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22">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22">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22">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22">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22">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22">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22">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22">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22">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22">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22">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22">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22">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22">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22">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22">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22">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22">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22">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22">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22">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22">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22">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22">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22">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22">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22">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22">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22">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22">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22">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22">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22">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22">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22">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22">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22">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22">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22">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22">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22">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22">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22">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22">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22">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22">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22">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22">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22">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22">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22">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22">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22">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22">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22">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22">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22">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22">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22">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22">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22">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22">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22">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22">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22">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22">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22">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22">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22">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22">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22">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22">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22">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22">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22">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22">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22">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22">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22">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22">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22">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22">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22">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22">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22">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22">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22">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22">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22">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22">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22">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22">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22">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22">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22">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22">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22">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22">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22">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22">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22">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22">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22">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22">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22">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22">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22">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22">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22">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22">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22">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22">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22">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22">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22">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22">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22">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22">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22">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22">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22">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22">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22">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22">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22">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22">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22">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22">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22">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22">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22">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22">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22">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22">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22">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22">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22">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22">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22">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22">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22">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22">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22">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22">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22">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22">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22">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22">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22">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22">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22">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22">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22">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22">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22">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22">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22">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22">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22">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22">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22">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22">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22">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22">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22">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22">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22">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22">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22">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22">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22">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22">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22">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22">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22">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22">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22">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22">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22">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22">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22">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22">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22">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22">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22">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22">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22">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22">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22">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22">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22">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22">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22">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22">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22">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22">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22">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22">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22">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22">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22">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22">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22">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22">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22">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22">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22">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22">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22">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22">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22">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22">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22">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22">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22">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22">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22">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22">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22">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22">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22">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22">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22">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22">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22">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22">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22">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22">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22">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22">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22">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22">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22">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22">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22">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22">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22">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22">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22">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22">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22">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22">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22">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22">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22">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22">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22">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22">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22">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22">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22">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22">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22">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22">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22">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22">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22">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22">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22">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22">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22">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22">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22">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22">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22">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22">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22">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22">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22">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22">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22">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22">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22">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22">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22">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22">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22">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22">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22">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22">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22">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22">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22">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22">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22">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22">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22">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22">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22">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22">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22">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22">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22">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22">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22">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22">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22">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22">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22">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22">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22">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22">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22">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22">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22">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22">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22">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22">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22">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22">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22">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22">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22">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22">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22">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22">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22">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22">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22">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22">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22">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22">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22">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22">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22">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22">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22">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22">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22">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22">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22">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22">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22">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22">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22">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22">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22">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22">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22">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22">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22">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22">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22">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22">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22">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22">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22">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22">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22">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22">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22">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22">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22">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22">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22">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22">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22">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22">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22">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22">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22">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22">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22">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22">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22">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22">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22">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22">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22">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22">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22">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22">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22">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22">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22">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22">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22">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22">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22">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22">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22">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22">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22">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22">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22">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22">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22">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22">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22">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22">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22">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22">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22">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22">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22">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22">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22">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22">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22">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22">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22">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22">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22">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22">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22">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22">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22">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22">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22">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22">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22">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22">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22">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22">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22">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22">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22">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22">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22">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22">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22">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22">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22">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22">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22">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22">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22">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22">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22">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22">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22">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22">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22">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22">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22">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22">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22">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22">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22">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22">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22">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22">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22">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22">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22">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22">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22">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22">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22">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22">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22">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22">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22">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22">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22">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22">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22">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22">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22">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22">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22">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22">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22">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22">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22">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22">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22">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22">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22">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22">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22">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22">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22">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22">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22">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22">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22">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22">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22">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22">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22">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22">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22">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22">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22">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22">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22">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22">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22">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22">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22">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22">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sheetData>
  <mergeCells count="7">
    <mergeCell ref="B9:E9"/>
    <mergeCell ref="B8:E8"/>
    <mergeCell ref="B6:E6"/>
    <mergeCell ref="B7:E7"/>
    <mergeCell ref="B25:E25"/>
    <mergeCell ref="B24:E24"/>
    <mergeCell ref="B5:E5"/>
  </mergeCells>
  <pageMargins left="0.75" right="0.75" top="1" bottom="1" header="0" footer="0"/>
  <pageSetup orientation="landscape" paperSize="9" fitToHeight="0"/>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Z1000"/>
  <sheetViews>
    <sheetView workbookViewId="0">
      <pane ySplit="4" topLeftCell="A5" activePane="bottomLeft" state="frozen"/>
      <selection pane="bottomLeft" activeCell="B6" sqref="B6"/>
    </sheetView>
  </sheetViews>
  <sheetFormatPr baseColWidth="8" defaultColWidth="14.43" defaultRowHeight="15" customHeight="1"/>
  <cols>
    <col width="10" customWidth="1" style="22" min="1" max="1"/>
    <col width="52" customWidth="1" style="22" min="2" max="2"/>
    <col width="12" customWidth="1" style="22" min="3" max="3"/>
    <col width="22" customWidth="1" style="22" min="4" max="4"/>
    <col width="13" customWidth="1" style="22" min="5" max="5"/>
    <col width="8.710000000000001" customWidth="1" style="22" min="6" max="7"/>
  </cols>
  <sheetData>
    <row r="1" ht="24" customHeight="1" s="22">
      <c r="A1" s="1" t="n"/>
      <c r="B1" s="1" t="n"/>
      <c r="C1" s="2" t="inlineStr">
        <is>
          <t>Plan de la iteración 2</t>
        </is>
      </c>
      <c r="D1" s="3" t="n"/>
      <c r="E1" s="3" t="n"/>
      <c r="F1" s="3" t="n"/>
      <c r="G1" s="3" t="n"/>
      <c r="H1" s="4" t="n"/>
      <c r="I1" s="4" t="n"/>
      <c r="J1" s="4" t="n"/>
      <c r="K1" s="4" t="n"/>
      <c r="L1" s="4" t="n"/>
      <c r="M1" s="4" t="n"/>
      <c r="N1" s="4" t="n"/>
      <c r="O1" s="4" t="n"/>
      <c r="P1" s="4" t="n"/>
      <c r="Q1" s="4" t="n"/>
      <c r="R1" s="4" t="n"/>
      <c r="S1" s="4" t="n"/>
      <c r="T1" s="4" t="n"/>
      <c r="U1" s="4" t="n"/>
      <c r="V1" s="4" t="n"/>
      <c r="W1" s="4" t="n"/>
      <c r="X1" s="4" t="n"/>
      <c r="Y1" s="4" t="n"/>
      <c r="Z1" s="4" t="n"/>
    </row>
    <row r="2" ht="15" customHeight="1" s="22">
      <c r="A2" s="1" t="n"/>
      <c r="B2" s="1" t="n"/>
      <c r="C2" s="5" t="inlineStr">
        <is>
          <t>App móvil Aprueba - Módulo de Preguntas · Grupo 9 · PTY4614 Capstone, sección 002D</t>
        </is>
      </c>
      <c r="D2" s="3" t="n"/>
      <c r="E2" s="3" t="n"/>
      <c r="F2" s="3" t="n"/>
      <c r="G2" s="3" t="n"/>
      <c r="H2" s="4" t="n"/>
      <c r="I2" s="4" t="n"/>
      <c r="J2" s="4" t="n"/>
      <c r="K2" s="4" t="n"/>
      <c r="L2" s="4" t="n"/>
      <c r="M2" s="4" t="n"/>
      <c r="N2" s="4" t="n"/>
      <c r="O2" s="4" t="n"/>
      <c r="P2" s="4" t="n"/>
      <c r="Q2" s="4" t="n"/>
      <c r="R2" s="4" t="n"/>
      <c r="S2" s="4" t="n"/>
      <c r="T2" s="4" t="n"/>
      <c r="U2" s="4" t="n"/>
      <c r="V2" s="4" t="n"/>
      <c r="W2" s="4" t="n"/>
      <c r="X2" s="4" t="n"/>
      <c r="Y2" s="4" t="n"/>
      <c r="Z2" s="4" t="n"/>
    </row>
    <row r="3" ht="15" customHeight="1" s="22">
      <c r="A3" s="1" t="n"/>
      <c r="B3" s="1" t="n"/>
      <c r="C3" s="5" t="inlineStr">
        <is>
          <t>Metodología: Extreme Programming · Versión 1.8 · 18 de octubre de 2026</t>
        </is>
      </c>
      <c r="D3" s="3" t="n"/>
      <c r="E3" s="3" t="n"/>
      <c r="F3" s="3" t="n"/>
      <c r="G3" s="3" t="n"/>
      <c r="H3" s="4" t="n"/>
      <c r="I3" s="4" t="n"/>
      <c r="J3" s="4" t="n"/>
      <c r="K3" s="4" t="n"/>
      <c r="L3" s="4" t="n"/>
      <c r="M3" s="4" t="n"/>
      <c r="N3" s="4" t="n"/>
      <c r="O3" s="4" t="n"/>
      <c r="P3" s="4" t="n"/>
      <c r="Q3" s="4" t="n"/>
      <c r="R3" s="4" t="n"/>
      <c r="S3" s="4" t="n"/>
      <c r="T3" s="4" t="n"/>
      <c r="U3" s="4" t="n"/>
      <c r="V3" s="4" t="n"/>
      <c r="W3" s="4" t="n"/>
      <c r="X3" s="4" t="n"/>
      <c r="Y3" s="4" t="n"/>
      <c r="Z3" s="4" t="n"/>
    </row>
    <row r="4" ht="15" customHeight="1" s="22">
      <c r="A4" s="1" t="n"/>
      <c r="B4" s="1" t="n"/>
      <c r="C4" s="7" t="n"/>
      <c r="D4" s="1" t="n"/>
      <c r="E4" s="1" t="n"/>
      <c r="F4" s="4" t="n"/>
      <c r="G4" s="4" t="n"/>
      <c r="H4" s="4" t="n"/>
      <c r="I4" s="4" t="n"/>
      <c r="J4" s="4" t="n"/>
      <c r="K4" s="4" t="n"/>
      <c r="L4" s="4" t="n"/>
      <c r="M4" s="4" t="n"/>
      <c r="N4" s="4" t="n"/>
      <c r="O4" s="4" t="n"/>
      <c r="P4" s="4" t="n"/>
      <c r="Q4" s="4" t="n"/>
      <c r="R4" s="4" t="n"/>
      <c r="S4" s="4" t="n"/>
      <c r="T4" s="4" t="n"/>
      <c r="U4" s="4" t="n"/>
      <c r="V4" s="4" t="n"/>
      <c r="W4" s="4" t="n"/>
      <c r="X4" s="4" t="n"/>
      <c r="Y4" s="4" t="n"/>
      <c r="Z4" s="4" t="n"/>
    </row>
    <row r="5" ht="15" customHeight="1" s="22">
      <c r="A5" s="9" t="inlineStr">
        <is>
          <t>Semana</t>
        </is>
      </c>
      <c r="B5" s="12" t="inlineStr">
        <is>
          <t>Semana 6</t>
        </is>
      </c>
      <c r="C5" s="23" t="n"/>
      <c r="D5" s="23" t="n"/>
      <c r="E5" s="24" t="n"/>
      <c r="F5" s="4" t="n"/>
      <c r="G5" s="4" t="n"/>
      <c r="H5" s="4" t="n"/>
      <c r="I5" s="4" t="n"/>
      <c r="J5" s="4" t="n"/>
      <c r="K5" s="4" t="n"/>
      <c r="L5" s="4" t="n"/>
      <c r="M5" s="4" t="n"/>
      <c r="N5" s="4" t="n"/>
      <c r="O5" s="4" t="n"/>
      <c r="P5" s="4" t="n"/>
      <c r="Q5" s="4" t="n"/>
      <c r="R5" s="4" t="n"/>
      <c r="S5" s="4" t="n"/>
      <c r="T5" s="4" t="n"/>
      <c r="U5" s="4" t="n"/>
      <c r="V5" s="4" t="n"/>
      <c r="W5" s="4" t="n"/>
      <c r="X5" s="4" t="n"/>
      <c r="Y5" s="4" t="n"/>
      <c r="Z5" s="4" t="n"/>
    </row>
    <row r="6" ht="15" customHeight="1" s="22">
      <c r="A6" s="9" t="inlineStr">
        <is>
          <t>Fechas</t>
        </is>
      </c>
      <c r="B6" s="12" t="inlineStr">
        <is>
          <t>14/09 al 19/09/2026</t>
        </is>
      </c>
      <c r="C6" s="23" t="n"/>
      <c r="D6" s="23" t="n"/>
      <c r="E6" s="24" t="n"/>
      <c r="F6" s="4" t="n"/>
      <c r="G6" s="4" t="n"/>
      <c r="H6" s="4" t="n"/>
      <c r="I6" s="4" t="n"/>
      <c r="J6" s="4" t="n"/>
      <c r="K6" s="4" t="n"/>
      <c r="L6" s="4" t="n"/>
      <c r="M6" s="4" t="n"/>
      <c r="N6" s="4" t="n"/>
      <c r="O6" s="4" t="n"/>
      <c r="P6" s="4" t="n"/>
      <c r="Q6" s="4" t="n"/>
      <c r="R6" s="4" t="n"/>
      <c r="S6" s="4" t="n"/>
      <c r="T6" s="4" t="n"/>
      <c r="U6" s="4" t="n"/>
      <c r="V6" s="4" t="n"/>
      <c r="W6" s="4" t="n"/>
      <c r="X6" s="4" t="n"/>
      <c r="Y6" s="4" t="n"/>
      <c r="Z6" s="4" t="n"/>
    </row>
    <row r="7" ht="23.25" customHeight="1" s="22">
      <c r="A7" s="9" t="inlineStr">
        <is>
          <t>Entrega funcional</t>
        </is>
      </c>
      <c r="B7" s="12" t="inlineStr">
        <is>
          <t>Entrega 1</t>
        </is>
      </c>
      <c r="C7" s="23" t="n"/>
      <c r="D7" s="23" t="n"/>
      <c r="E7" s="24" t="n"/>
      <c r="F7" s="4" t="n"/>
      <c r="G7" s="4" t="n"/>
      <c r="H7" s="4" t="n"/>
      <c r="I7" s="4" t="n"/>
      <c r="J7" s="4" t="n"/>
      <c r="K7" s="4" t="n"/>
      <c r="L7" s="4" t="n"/>
      <c r="M7" s="4" t="n"/>
      <c r="N7" s="4" t="n"/>
      <c r="O7" s="4" t="n"/>
      <c r="P7" s="4" t="n"/>
      <c r="Q7" s="4" t="n"/>
      <c r="R7" s="4" t="n"/>
      <c r="S7" s="4" t="n"/>
      <c r="T7" s="4" t="n"/>
      <c r="U7" s="4" t="n"/>
      <c r="V7" s="4" t="n"/>
      <c r="W7" s="4" t="n"/>
      <c r="X7" s="4" t="n"/>
      <c r="Y7" s="4" t="n"/>
      <c r="Z7" s="4" t="n"/>
    </row>
    <row r="8" ht="15" customHeight="1" s="22">
      <c r="A8" s="9" t="inlineStr">
        <is>
          <t>Estado</t>
        </is>
      </c>
      <c r="B8" s="12" t="inlineStr">
        <is>
          <t>Cerrada</t>
        </is>
      </c>
      <c r="C8" s="23" t="n"/>
      <c r="D8" s="23" t="n"/>
      <c r="E8" s="24" t="n"/>
      <c r="F8" s="4" t="n"/>
      <c r="G8" s="4" t="n"/>
      <c r="H8" s="4" t="n"/>
      <c r="I8" s="4" t="n"/>
      <c r="J8" s="4" t="n"/>
      <c r="K8" s="4" t="n"/>
      <c r="L8" s="4" t="n"/>
      <c r="M8" s="4" t="n"/>
      <c r="N8" s="4" t="n"/>
      <c r="O8" s="4" t="n"/>
      <c r="P8" s="4" t="n"/>
      <c r="Q8" s="4" t="n"/>
      <c r="R8" s="4" t="n"/>
      <c r="S8" s="4" t="n"/>
      <c r="T8" s="4" t="n"/>
      <c r="U8" s="4" t="n"/>
      <c r="V8" s="4" t="n"/>
      <c r="W8" s="4" t="n"/>
      <c r="X8" s="4" t="n"/>
      <c r="Y8" s="4" t="n"/>
      <c r="Z8" s="4" t="n"/>
    </row>
    <row r="9" ht="30" customHeight="1" s="22">
      <c r="A9" s="9" t="inlineStr">
        <is>
          <t>Objetivo</t>
        </is>
      </c>
      <c r="B9" s="12" t="inlineStr">
        <is>
          <t>Definir el modelo de datos del módulo y los contratos sobre los que se construyen los servicios.</t>
        </is>
      </c>
      <c r="C9" s="23" t="n"/>
      <c r="D9" s="23" t="n"/>
      <c r="E9" s="24" t="n"/>
      <c r="F9" s="4" t="n"/>
      <c r="G9" s="4" t="n"/>
      <c r="H9" s="4" t="n"/>
      <c r="I9" s="4" t="n"/>
      <c r="J9" s="4" t="n"/>
      <c r="K9" s="4" t="n"/>
      <c r="L9" s="4" t="n"/>
      <c r="M9" s="4" t="n"/>
      <c r="N9" s="4" t="n"/>
      <c r="O9" s="4" t="n"/>
      <c r="P9" s="4" t="n"/>
      <c r="Q9" s="4" t="n"/>
      <c r="R9" s="4" t="n"/>
      <c r="S9" s="4" t="n"/>
      <c r="T9" s="4" t="n"/>
      <c r="U9" s="4" t="n"/>
      <c r="V9" s="4" t="n"/>
      <c r="W9" s="4" t="n"/>
      <c r="X9" s="4" t="n"/>
      <c r="Y9" s="4" t="n"/>
      <c r="Z9" s="4" t="n"/>
    </row>
    <row r="10">
      <c r="A10" s="1" t="n"/>
      <c r="B10" s="1" t="n"/>
      <c r="C10" s="1" t="n"/>
      <c r="D10" s="1" t="n"/>
      <c r="E10" s="1" t="n"/>
      <c r="F10" s="4" t="n"/>
      <c r="G10" s="4" t="n"/>
      <c r="H10" s="4" t="n"/>
      <c r="I10" s="4" t="n"/>
      <c r="J10" s="4" t="n"/>
      <c r="K10" s="4" t="n"/>
      <c r="L10" s="4" t="n"/>
      <c r="M10" s="4" t="n"/>
      <c r="N10" s="4" t="n"/>
      <c r="O10" s="4" t="n"/>
      <c r="P10" s="4" t="n"/>
      <c r="Q10" s="4" t="n"/>
      <c r="R10" s="4" t="n"/>
      <c r="S10" s="4" t="n"/>
      <c r="T10" s="4" t="n"/>
      <c r="U10" s="4" t="n"/>
      <c r="V10" s="4" t="n"/>
      <c r="W10" s="4" t="n"/>
      <c r="X10" s="4" t="n"/>
      <c r="Y10" s="4" t="n"/>
      <c r="Z10" s="4" t="n"/>
    </row>
    <row r="11" ht="15" customHeight="1" s="22">
      <c r="A11" s="16" t="inlineStr">
        <is>
          <t>Historias comprometidas</t>
        </is>
      </c>
      <c r="B11" s="1" t="n"/>
      <c r="C11" s="1" t="n"/>
      <c r="D11" s="1" t="n"/>
      <c r="E11" s="1" t="n"/>
      <c r="F11" s="4" t="n"/>
      <c r="G11" s="4" t="n"/>
      <c r="H11" s="4" t="n"/>
      <c r="I11" s="4" t="n"/>
      <c r="J11" s="4" t="n"/>
      <c r="K11" s="4" t="n"/>
      <c r="L11" s="4" t="n"/>
      <c r="M11" s="4" t="n"/>
      <c r="N11" s="4" t="n"/>
      <c r="O11" s="4" t="n"/>
      <c r="P11" s="4" t="n"/>
      <c r="Q11" s="4" t="n"/>
      <c r="R11" s="4" t="n"/>
      <c r="S11" s="4" t="n"/>
      <c r="T11" s="4" t="n"/>
      <c r="U11" s="4" t="n"/>
      <c r="V11" s="4" t="n"/>
      <c r="W11" s="4" t="n"/>
      <c r="X11" s="4" t="n"/>
      <c r="Y11" s="4" t="n"/>
      <c r="Z11" s="4" t="n"/>
    </row>
    <row r="12" ht="15" customHeight="1" s="22">
      <c r="A12" s="8" t="inlineStr">
        <is>
          <t>ID</t>
        </is>
      </c>
      <c r="B12" s="8" t="inlineStr">
        <is>
          <t>Historia</t>
        </is>
      </c>
      <c r="C12" s="8" t="inlineStr">
        <is>
          <t>Puntos</t>
        </is>
      </c>
      <c r="D12" s="8" t="inlineStr">
        <is>
          <t>Responsable</t>
        </is>
      </c>
      <c r="E12" s="8" t="inlineStr">
        <is>
          <t>Estado</t>
        </is>
      </c>
      <c r="F12" s="4" t="n"/>
      <c r="G12" s="4" t="n"/>
      <c r="H12" s="4" t="n"/>
      <c r="I12" s="4" t="n"/>
      <c r="J12" s="4" t="n"/>
      <c r="K12" s="4" t="n"/>
      <c r="L12" s="4" t="n"/>
      <c r="M12" s="4" t="n"/>
      <c r="N12" s="4" t="n"/>
      <c r="O12" s="4" t="n"/>
      <c r="P12" s="4" t="n"/>
      <c r="Q12" s="4" t="n"/>
      <c r="R12" s="4" t="n"/>
      <c r="S12" s="4" t="n"/>
      <c r="T12" s="4" t="n"/>
      <c r="U12" s="4" t="n"/>
      <c r="V12" s="4" t="n"/>
      <c r="W12" s="4" t="n"/>
      <c r="X12" s="4" t="n"/>
      <c r="Y12" s="4" t="n"/>
      <c r="Z12" s="4" t="n"/>
    </row>
    <row r="13" ht="15" customHeight="1" s="22">
      <c r="A13" s="15" t="inlineStr">
        <is>
          <t>HU-20</t>
        </is>
      </c>
      <c r="B13" s="12" t="inlineStr">
        <is>
          <t>Modelo de datos y modelos de dominio</t>
        </is>
      </c>
      <c r="C13" s="15" t="n">
        <v>5</v>
      </c>
      <c r="D13" s="12" t="inlineStr">
        <is>
          <t>Jeremías Fernández</t>
        </is>
      </c>
      <c r="E13" s="15" t="inlineStr">
        <is>
          <t>Hecho</t>
        </is>
      </c>
      <c r="F13" s="4" t="n"/>
      <c r="G13" s="4" t="n"/>
      <c r="H13" s="4" t="n"/>
      <c r="I13" s="4" t="n"/>
      <c r="J13" s="4" t="n"/>
      <c r="K13" s="4" t="n"/>
      <c r="L13" s="4" t="n"/>
      <c r="M13" s="4" t="n"/>
      <c r="N13" s="4" t="n"/>
      <c r="O13" s="4" t="n"/>
      <c r="P13" s="4" t="n"/>
      <c r="Q13" s="4" t="n"/>
      <c r="R13" s="4" t="n"/>
      <c r="S13" s="4" t="n"/>
      <c r="T13" s="4" t="n"/>
      <c r="U13" s="4" t="n"/>
      <c r="V13" s="4" t="n"/>
      <c r="W13" s="4" t="n"/>
      <c r="X13" s="4" t="n"/>
      <c r="Y13" s="4" t="n"/>
      <c r="Z13" s="4" t="n"/>
    </row>
    <row r="14" ht="15" customHeight="1" s="22">
      <c r="A14" s="1" t="n"/>
      <c r="B14" s="18" t="inlineStr">
        <is>
          <t>Puntos comprometidos</t>
        </is>
      </c>
      <c r="C14" s="21">
        <f>SUMPRODUCT(C13*ISERROR(SEARCH("no planificada",B13)))</f>
        <v/>
      </c>
      <c r="D14" s="1" t="n"/>
      <c r="E14" s="1" t="n"/>
      <c r="F14" s="4" t="n"/>
      <c r="G14" s="4" t="n"/>
      <c r="H14" s="4" t="n"/>
      <c r="I14" s="4" t="n"/>
      <c r="J14" s="4" t="n"/>
      <c r="K14" s="4" t="n"/>
      <c r="L14" s="4" t="n"/>
      <c r="M14" s="4" t="n"/>
      <c r="N14" s="4" t="n"/>
      <c r="O14" s="4" t="n"/>
      <c r="P14" s="4" t="n"/>
      <c r="Q14" s="4" t="n"/>
      <c r="R14" s="4" t="n"/>
      <c r="S14" s="4" t="n"/>
      <c r="T14" s="4" t="n"/>
      <c r="U14" s="4" t="n"/>
      <c r="V14" s="4" t="n"/>
      <c r="W14" s="4" t="n"/>
      <c r="X14" s="4" t="n"/>
      <c r="Y14" s="4" t="n"/>
      <c r="Z14" s="4" t="n"/>
    </row>
    <row r="15" ht="15" customHeight="1" s="22">
      <c r="A15" s="1" t="n"/>
      <c r="B15" s="18" t="inlineStr">
        <is>
          <t>Puntos terminados (velocidad, incluye lo no planificado)</t>
        </is>
      </c>
      <c r="C15" s="21">
        <f>SUMIF(E13,"Hecho",C13)</f>
        <v/>
      </c>
      <c r="D15" s="1" t="n"/>
      <c r="E15" s="1" t="n"/>
      <c r="F15" s="4" t="n"/>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1" t="n"/>
      <c r="B16" s="1" t="n"/>
      <c r="C16" s="1" t="n"/>
      <c r="D16" s="1" t="n"/>
      <c r="E16" s="1" t="n"/>
      <c r="F16" s="4" t="n"/>
      <c r="G16" s="4" t="n"/>
      <c r="H16" s="4" t="n"/>
      <c r="I16" s="4" t="n"/>
      <c r="J16" s="4" t="n"/>
      <c r="K16" s="4" t="n"/>
      <c r="L16" s="4" t="n"/>
      <c r="M16" s="4" t="n"/>
      <c r="N16" s="4" t="n"/>
      <c r="O16" s="4" t="n"/>
      <c r="P16" s="4" t="n"/>
      <c r="Q16" s="4" t="n"/>
      <c r="R16" s="4" t="n"/>
      <c r="S16" s="4" t="n"/>
      <c r="T16" s="4" t="n"/>
      <c r="U16" s="4" t="n"/>
      <c r="V16" s="4" t="n"/>
      <c r="W16" s="4" t="n"/>
      <c r="X16" s="4" t="n"/>
      <c r="Y16" s="4" t="n"/>
      <c r="Z16" s="4" t="n"/>
    </row>
    <row r="17" ht="15" customHeight="1" s="22">
      <c r="A17" s="16" t="inlineStr">
        <is>
          <t>Tareas</t>
        </is>
      </c>
      <c r="B17" s="1" t="n"/>
      <c r="C17" s="1" t="n"/>
      <c r="D17" s="1" t="n"/>
      <c r="E17" s="1" t="n"/>
      <c r="F17" s="4" t="n"/>
      <c r="G17" s="4" t="n"/>
      <c r="H17" s="4" t="n"/>
      <c r="I17" s="4" t="n"/>
      <c r="J17" s="4" t="n"/>
      <c r="K17" s="4" t="n"/>
      <c r="L17" s="4" t="n"/>
      <c r="M17" s="4" t="n"/>
      <c r="N17" s="4" t="n"/>
      <c r="O17" s="4" t="n"/>
      <c r="P17" s="4" t="n"/>
      <c r="Q17" s="4" t="n"/>
      <c r="R17" s="4" t="n"/>
      <c r="S17" s="4" t="n"/>
      <c r="T17" s="4" t="n"/>
      <c r="U17" s="4" t="n"/>
      <c r="V17" s="4" t="n"/>
      <c r="W17" s="4" t="n"/>
      <c r="X17" s="4" t="n"/>
      <c r="Y17" s="4" t="n"/>
      <c r="Z17" s="4" t="n"/>
    </row>
    <row r="18" ht="15" customHeight="1" s="22">
      <c r="A18" s="8" t="inlineStr">
        <is>
          <t>ID</t>
        </is>
      </c>
      <c r="B18" s="8" t="inlineStr">
        <is>
          <t>Tarea</t>
        </is>
      </c>
      <c r="C18" s="8" t="inlineStr">
        <is>
          <t>Historia</t>
        </is>
      </c>
      <c r="D18" s="8" t="inlineStr">
        <is>
          <t>Responsable</t>
        </is>
      </c>
      <c r="E18" s="8" t="inlineStr">
        <is>
          <t>Estado</t>
        </is>
      </c>
      <c r="F18" s="4" t="n"/>
      <c r="G18" s="4" t="n"/>
      <c r="H18" s="4" t="n"/>
      <c r="I18" s="4" t="n"/>
      <c r="J18" s="4" t="n"/>
      <c r="K18" s="4" t="n"/>
      <c r="L18" s="4" t="n"/>
      <c r="M18" s="4" t="n"/>
      <c r="N18" s="4" t="n"/>
      <c r="O18" s="4" t="n"/>
      <c r="P18" s="4" t="n"/>
      <c r="Q18" s="4" t="n"/>
      <c r="R18" s="4" t="n"/>
      <c r="S18" s="4" t="n"/>
      <c r="T18" s="4" t="n"/>
      <c r="U18" s="4" t="n"/>
      <c r="V18" s="4" t="n"/>
      <c r="W18" s="4" t="n"/>
      <c r="X18" s="4" t="n"/>
      <c r="Y18" s="4" t="n"/>
      <c r="Z18" s="4" t="n"/>
    </row>
    <row r="19" ht="15" customHeight="1" s="22">
      <c r="A19" s="15" t="inlineStr">
        <is>
          <t>T-05</t>
        </is>
      </c>
      <c r="B19" s="12" t="inlineStr">
        <is>
          <t>Definir las colecciones y las reglas de seguridad de Firestore</t>
        </is>
      </c>
      <c r="C19" s="15" t="inlineStr">
        <is>
          <t>HU-20</t>
        </is>
      </c>
      <c r="D19" s="12" t="inlineStr">
        <is>
          <t>Jeremías Fernández</t>
        </is>
      </c>
      <c r="E19" s="15" t="inlineStr">
        <is>
          <t>Hecho</t>
        </is>
      </c>
      <c r="F19" s="4" t="n"/>
      <c r="G19" s="4" t="n"/>
      <c r="H19" s="4" t="n"/>
      <c r="I19" s="4" t="n"/>
      <c r="J19" s="4" t="n"/>
      <c r="K19" s="4" t="n"/>
      <c r="L19" s="4" t="n"/>
      <c r="M19" s="4" t="n"/>
      <c r="N19" s="4" t="n"/>
      <c r="O19" s="4" t="n"/>
      <c r="P19" s="4" t="n"/>
      <c r="Q19" s="4" t="n"/>
      <c r="R19" s="4" t="n"/>
      <c r="S19" s="4" t="n"/>
      <c r="T19" s="4" t="n"/>
      <c r="U19" s="4" t="n"/>
      <c r="V19" s="4" t="n"/>
      <c r="W19" s="4" t="n"/>
      <c r="X19" s="4" t="n"/>
      <c r="Y19" s="4" t="n"/>
      <c r="Z19" s="4" t="n"/>
    </row>
    <row r="20" ht="15" customHeight="1" s="22">
      <c r="A20" s="15" t="inlineStr">
        <is>
          <t>T-06</t>
        </is>
      </c>
      <c r="B20" s="12" t="inlineStr">
        <is>
          <t>Definir los índices compuestos</t>
        </is>
      </c>
      <c r="C20" s="15" t="inlineStr">
        <is>
          <t>HU-20</t>
        </is>
      </c>
      <c r="D20" s="12" t="inlineStr">
        <is>
          <t>Jeremías Fernández</t>
        </is>
      </c>
      <c r="E20" s="15" t="inlineStr">
        <is>
          <t>Hecho</t>
        </is>
      </c>
      <c r="F20" s="4" t="n"/>
      <c r="G20" s="4" t="n"/>
      <c r="H20" s="4" t="n"/>
      <c r="I20" s="4" t="n"/>
      <c r="J20" s="4" t="n"/>
      <c r="K20" s="4" t="n"/>
      <c r="L20" s="4" t="n"/>
      <c r="M20" s="4" t="n"/>
      <c r="N20" s="4" t="n"/>
      <c r="O20" s="4" t="n"/>
      <c r="P20" s="4" t="n"/>
      <c r="Q20" s="4" t="n"/>
      <c r="R20" s="4" t="n"/>
      <c r="S20" s="4" t="n"/>
      <c r="T20" s="4" t="n"/>
      <c r="U20" s="4" t="n"/>
      <c r="V20" s="4" t="n"/>
      <c r="W20" s="4" t="n"/>
      <c r="X20" s="4" t="n"/>
      <c r="Y20" s="4" t="n"/>
      <c r="Z20" s="4" t="n"/>
    </row>
    <row r="21" ht="15" customHeight="1" s="22">
      <c r="A21" s="15" t="inlineStr">
        <is>
          <t>T-07</t>
        </is>
      </c>
      <c r="B21" s="12" t="inlineStr">
        <is>
          <t>Revisar el esquema local de Drift</t>
        </is>
      </c>
      <c r="C21" s="15" t="inlineStr">
        <is>
          <t>HU-20</t>
        </is>
      </c>
      <c r="D21" s="12" t="inlineStr">
        <is>
          <t>Sebastián Acevedo</t>
        </is>
      </c>
      <c r="E21" s="15" t="inlineStr">
        <is>
          <t>Hecho</t>
        </is>
      </c>
      <c r="F21" s="4" t="n"/>
      <c r="G21" s="4" t="n"/>
      <c r="H21" s="4" t="n"/>
      <c r="I21" s="4" t="n"/>
      <c r="J21" s="4" t="n"/>
      <c r="K21" s="4" t="n"/>
      <c r="L21" s="4" t="n"/>
      <c r="M21" s="4" t="n"/>
      <c r="N21" s="4" t="n"/>
      <c r="O21" s="4" t="n"/>
      <c r="P21" s="4" t="n"/>
      <c r="Q21" s="4" t="n"/>
      <c r="R21" s="4" t="n"/>
      <c r="S21" s="4" t="n"/>
      <c r="T21" s="4" t="n"/>
      <c r="U21" s="4" t="n"/>
      <c r="V21" s="4" t="n"/>
      <c r="W21" s="4" t="n"/>
      <c r="X21" s="4" t="n"/>
      <c r="Y21" s="4" t="n"/>
      <c r="Z21" s="4" t="n"/>
    </row>
    <row r="22" ht="15" customHeight="1" s="22">
      <c r="A22" s="15" t="inlineStr">
        <is>
          <t>T-08</t>
        </is>
      </c>
      <c r="B22" s="12" t="inlineStr">
        <is>
          <t>Implementar los modelos de dominio con pruebas de serialización</t>
        </is>
      </c>
      <c r="C22" s="15" t="inlineStr">
        <is>
          <t>HU-20</t>
        </is>
      </c>
      <c r="D22" s="12" t="inlineStr">
        <is>
          <t>Jeremías / Sebastián</t>
        </is>
      </c>
      <c r="E22" s="15" t="inlineStr">
        <is>
          <t>Hecho</t>
        </is>
      </c>
      <c r="F22" s="4" t="n"/>
      <c r="G22" s="4" t="n"/>
      <c r="H22" s="4" t="n"/>
      <c r="I22" s="4" t="n"/>
      <c r="J22" s="4" t="n"/>
      <c r="K22" s="4" t="n"/>
      <c r="L22" s="4" t="n"/>
      <c r="M22" s="4" t="n"/>
      <c r="N22" s="4" t="n"/>
      <c r="O22" s="4" t="n"/>
      <c r="P22" s="4" t="n"/>
      <c r="Q22" s="4" t="n"/>
      <c r="R22" s="4" t="n"/>
      <c r="S22" s="4" t="n"/>
      <c r="T22" s="4" t="n"/>
      <c r="U22" s="4" t="n"/>
      <c r="V22" s="4" t="n"/>
      <c r="W22" s="4" t="n"/>
      <c r="X22" s="4" t="n"/>
      <c r="Y22" s="4" t="n"/>
      <c r="Z22" s="4" t="n"/>
    </row>
    <row r="23" ht="15" customHeight="1" s="22">
      <c r="A23" s="15" t="inlineStr">
        <is>
          <t>T-09</t>
        </is>
      </c>
      <c r="B23" s="12" t="inlineStr">
        <is>
          <t>Cargar el banco de demostración</t>
        </is>
      </c>
      <c r="C23" s="15" t="inlineStr">
        <is>
          <t>HU-20</t>
        </is>
      </c>
      <c r="D23" s="12" t="inlineStr">
        <is>
          <t>Jeremías Fernández</t>
        </is>
      </c>
      <c r="E23" s="15" t="inlineStr">
        <is>
          <t>Hecho</t>
        </is>
      </c>
      <c r="F23" s="4" t="n"/>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22">
      <c r="A24" s="1" t="n"/>
      <c r="B24" s="1" t="n"/>
      <c r="C24" s="1" t="n"/>
      <c r="D24" s="1" t="n"/>
      <c r="E24" s="1" t="n"/>
      <c r="F24" s="4" t="n"/>
      <c r="G24" s="4" t="n"/>
      <c r="H24" s="4" t="n"/>
      <c r="I24" s="4" t="n"/>
      <c r="J24" s="4" t="n"/>
      <c r="K24" s="4" t="n"/>
      <c r="L24" s="4" t="n"/>
      <c r="M24" s="4" t="n"/>
      <c r="N24" s="4" t="n"/>
      <c r="O24" s="4" t="n"/>
      <c r="P24" s="4" t="n"/>
      <c r="Q24" s="4" t="n"/>
      <c r="R24" s="4" t="n"/>
      <c r="S24" s="4" t="n"/>
      <c r="T24" s="4" t="n"/>
      <c r="U24" s="4" t="n"/>
      <c r="V24" s="4" t="n"/>
      <c r="W24" s="4" t="n"/>
      <c r="X24" s="4" t="n"/>
      <c r="Y24" s="4" t="n"/>
      <c r="Z24" s="4" t="n"/>
    </row>
    <row r="25" ht="15" customHeight="1" s="22">
      <c r="A25" s="16" t="inlineStr">
        <is>
          <t>Cierre de la iteración</t>
        </is>
      </c>
      <c r="B25" s="1" t="n"/>
      <c r="C25" s="1" t="n"/>
      <c r="D25" s="1" t="n"/>
      <c r="E25" s="1" t="n"/>
      <c r="F25" s="4" t="n"/>
      <c r="G25" s="4" t="n"/>
      <c r="H25" s="4" t="n"/>
      <c r="I25" s="4" t="n"/>
      <c r="J25" s="4" t="n"/>
      <c r="K25" s="4" t="n"/>
      <c r="L25" s="4" t="n"/>
      <c r="M25" s="4" t="n"/>
      <c r="N25" s="4" t="n"/>
      <c r="O25" s="4" t="n"/>
      <c r="P25" s="4" t="n"/>
      <c r="Q25" s="4" t="n"/>
      <c r="R25" s="4" t="n"/>
      <c r="S25" s="4" t="n"/>
      <c r="T25" s="4" t="n"/>
      <c r="U25" s="4" t="n"/>
      <c r="V25" s="4" t="n"/>
      <c r="W25" s="4" t="n"/>
      <c r="X25" s="4" t="n"/>
      <c r="Y25" s="4" t="n"/>
      <c r="Z25" s="4" t="n"/>
    </row>
    <row r="26" ht="45" customHeight="1" s="22">
      <c r="A26" s="9" t="inlineStr">
        <is>
          <t>Resultado</t>
        </is>
      </c>
      <c r="B26" s="12" t="inlineStr">
        <is>
          <t>Se implementaron las colecciones, las reglas de seguridad, los índices y los modelos de dominio con sus pruebas. La revisión detectó que las reglas permitían leer la alternativa correcta desde el cliente y se corrigió negando todo acceso directo a la base de datos.</t>
        </is>
      </c>
      <c r="C26" s="23" t="n"/>
      <c r="D26" s="23" t="n"/>
      <c r="E26" s="24" t="n"/>
      <c r="F26" s="4" t="n"/>
      <c r="G26" s="4" t="n"/>
      <c r="H26" s="4" t="n"/>
      <c r="I26" s="4" t="n"/>
      <c r="J26" s="4" t="n"/>
      <c r="K26" s="4" t="n"/>
      <c r="L26" s="4" t="n"/>
      <c r="M26" s="4" t="n"/>
      <c r="N26" s="4" t="n"/>
      <c r="O26" s="4" t="n"/>
      <c r="P26" s="4" t="n"/>
      <c r="Q26" s="4" t="n"/>
      <c r="R26" s="4" t="n"/>
      <c r="S26" s="4" t="n"/>
      <c r="T26" s="4" t="n"/>
      <c r="U26" s="4" t="n"/>
      <c r="V26" s="4" t="n"/>
      <c r="W26" s="4" t="n"/>
      <c r="X26" s="4" t="n"/>
      <c r="Y26" s="4" t="n"/>
      <c r="Z26" s="4" t="n"/>
    </row>
    <row r="27" ht="45" customHeight="1" s="22">
      <c r="A27" s="9" t="inlineStr">
        <is>
          <t>Ajuste acordado</t>
        </is>
      </c>
      <c r="B27" s="12" t="inlineStr">
        <is>
          <t>Toda integración ingresa por solicitud de incorporación revisada y aprobada en el repositorio, y cada integrante configura su identidad en el control de versiones.</t>
        </is>
      </c>
      <c r="C27" s="23" t="n"/>
      <c r="D27" s="23" t="n"/>
      <c r="E27" s="24" t="n"/>
      <c r="F27" s="4" t="n"/>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22">
      <c r="A28" s="1" t="n"/>
      <c r="B28" s="1" t="n"/>
      <c r="C28" s="1" t="n"/>
      <c r="D28" s="1" t="n"/>
      <c r="E28" s="1" t="n"/>
      <c r="F28" s="4" t="n"/>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22">
      <c r="A29" s="1" t="n"/>
      <c r="B29" s="1" t="n"/>
      <c r="C29" s="1" t="n"/>
      <c r="D29" s="1" t="n"/>
      <c r="E29" s="1" t="n"/>
      <c r="F29" s="4" t="n"/>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22">
      <c r="A30" s="1" t="n"/>
      <c r="B30" s="1" t="n"/>
      <c r="C30" s="1" t="n"/>
      <c r="D30" s="1" t="n"/>
      <c r="E30" s="1" t="n"/>
      <c r="F30" s="4" t="n"/>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22">
      <c r="A31" s="1" t="n"/>
      <c r="B31" s="1" t="n"/>
      <c r="C31" s="1" t="n"/>
      <c r="D31" s="1" t="n"/>
      <c r="E31" s="1" t="n"/>
      <c r="F31" s="4" t="n"/>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22">
      <c r="A32" s="1" t="n"/>
      <c r="B32" s="1" t="n"/>
      <c r="C32" s="1" t="n"/>
      <c r="D32" s="1" t="n"/>
      <c r="E32" s="1" t="n"/>
      <c r="F32" s="4" t="n"/>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22">
      <c r="A33" s="1" t="n"/>
      <c r="B33" s="1" t="n"/>
      <c r="C33" s="1" t="n"/>
      <c r="D33" s="1" t="n"/>
      <c r="E33" s="1" t="n"/>
      <c r="F33" s="4" t="n"/>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22">
      <c r="A34" s="1" t="n"/>
      <c r="B34" s="1" t="n"/>
      <c r="C34" s="1" t="n"/>
      <c r="D34" s="1" t="n"/>
      <c r="E34" s="1" t="n"/>
      <c r="F34" s="4" t="n"/>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22">
      <c r="A35" s="1" t="n"/>
      <c r="B35" s="1" t="n"/>
      <c r="C35" s="1" t="n"/>
      <c r="D35" s="1" t="n"/>
      <c r="E35" s="1" t="n"/>
      <c r="F35" s="4" t="n"/>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22">
      <c r="A36" s="1" t="n"/>
      <c r="B36" s="1" t="n"/>
      <c r="C36" s="1" t="n"/>
      <c r="D36" s="1" t="n"/>
      <c r="E36" s="1" t="n"/>
      <c r="F36" s="4" t="n"/>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22">
      <c r="A37" s="1" t="n"/>
      <c r="B37" s="1" t="n"/>
      <c r="C37" s="1" t="n"/>
      <c r="D37" s="1" t="n"/>
      <c r="E37" s="1" t="n"/>
      <c r="F37" s="4" t="n"/>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22">
      <c r="A38" s="1" t="n"/>
      <c r="B38" s="1" t="n"/>
      <c r="C38" s="1" t="n"/>
      <c r="D38" s="1" t="n"/>
      <c r="E38" s="1" t="n"/>
      <c r="F38" s="4" t="n"/>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22">
      <c r="A39" s="1" t="n"/>
      <c r="B39" s="1" t="n"/>
      <c r="C39" s="1" t="n"/>
      <c r="D39" s="1" t="n"/>
      <c r="E39" s="1" t="n"/>
      <c r="F39" s="4" t="n"/>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22">
      <c r="A40" s="1" t="n"/>
      <c r="B40" s="1" t="n"/>
      <c r="C40" s="1" t="n"/>
      <c r="D40" s="1" t="n"/>
      <c r="E40" s="1" t="n"/>
      <c r="F40" s="4" t="n"/>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22">
      <c r="A41" s="1" t="n"/>
      <c r="B41" s="1" t="n"/>
      <c r="C41" s="1" t="n"/>
      <c r="D41" s="1" t="n"/>
      <c r="E41" s="1" t="n"/>
      <c r="F41" s="4" t="n"/>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22">
      <c r="A42" s="1" t="n"/>
      <c r="B42" s="1" t="n"/>
      <c r="C42" s="1" t="n"/>
      <c r="D42" s="1" t="n"/>
      <c r="E42" s="1" t="n"/>
      <c r="F42" s="4" t="n"/>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22">
      <c r="A43" s="1" t="n"/>
      <c r="B43" s="1" t="n"/>
      <c r="C43" s="1" t="n"/>
      <c r="D43" s="1" t="n"/>
      <c r="E43" s="1" t="n"/>
      <c r="F43" s="4" t="n"/>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22">
      <c r="A44" s="1" t="n"/>
      <c r="B44" s="1" t="n"/>
      <c r="C44" s="1" t="n"/>
      <c r="D44" s="1" t="n"/>
      <c r="E44" s="1" t="n"/>
      <c r="F44" s="4" t="n"/>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22">
      <c r="A45" s="1" t="n"/>
      <c r="B45" s="1" t="n"/>
      <c r="C45" s="1" t="n"/>
      <c r="D45" s="1" t="n"/>
      <c r="E45" s="1" t="n"/>
      <c r="F45" s="4" t="n"/>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22">
      <c r="A46" s="1" t="n"/>
      <c r="B46" s="1" t="n"/>
      <c r="C46" s="1" t="n"/>
      <c r="D46" s="1" t="n"/>
      <c r="E46" s="1" t="n"/>
      <c r="F46" s="4" t="n"/>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22">
      <c r="A47" s="1" t="n"/>
      <c r="B47" s="1" t="n"/>
      <c r="C47" s="1" t="n"/>
      <c r="D47" s="1" t="n"/>
      <c r="E47" s="1" t="n"/>
      <c r="F47" s="4" t="n"/>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22">
      <c r="A48" s="1" t="n"/>
      <c r="B48" s="1" t="n"/>
      <c r="C48" s="1" t="n"/>
      <c r="D48" s="1" t="n"/>
      <c r="E48" s="1" t="n"/>
      <c r="F48" s="4" t="n"/>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22">
      <c r="A49" s="1" t="n"/>
      <c r="B49" s="1" t="n"/>
      <c r="C49" s="1" t="n"/>
      <c r="D49" s="1" t="n"/>
      <c r="E49" s="1" t="n"/>
      <c r="F49" s="4" t="n"/>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22">
      <c r="A50" s="1" t="n"/>
      <c r="B50" s="1" t="n"/>
      <c r="C50" s="1" t="n"/>
      <c r="D50" s="1" t="n"/>
      <c r="E50" s="1" t="n"/>
      <c r="F50" s="4" t="n"/>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22">
      <c r="A51" s="1" t="n"/>
      <c r="B51" s="1" t="n"/>
      <c r="C51" s="1" t="n"/>
      <c r="D51" s="1" t="n"/>
      <c r="E51" s="1" t="n"/>
      <c r="F51" s="4" t="n"/>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22">
      <c r="A52" s="1" t="n"/>
      <c r="B52" s="1" t="n"/>
      <c r="C52" s="1" t="n"/>
      <c r="D52" s="1" t="n"/>
      <c r="E52" s="1" t="n"/>
      <c r="F52" s="4" t="n"/>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22">
      <c r="A53" s="1" t="n"/>
      <c r="B53" s="1" t="n"/>
      <c r="C53" s="1" t="n"/>
      <c r="D53" s="1" t="n"/>
      <c r="E53" s="1" t="n"/>
      <c r="F53" s="4" t="n"/>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22">
      <c r="A54" s="1" t="n"/>
      <c r="B54" s="1" t="n"/>
      <c r="C54" s="1" t="n"/>
      <c r="D54" s="1" t="n"/>
      <c r="E54" s="1" t="n"/>
      <c r="F54" s="4" t="n"/>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22">
      <c r="A55" s="1" t="n"/>
      <c r="B55" s="1" t="n"/>
      <c r="C55" s="1" t="n"/>
      <c r="D55" s="1" t="n"/>
      <c r="E55" s="1" t="n"/>
      <c r="F55" s="4" t="n"/>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22">
      <c r="A56" s="1" t="n"/>
      <c r="B56" s="1" t="n"/>
      <c r="C56" s="1" t="n"/>
      <c r="D56" s="1" t="n"/>
      <c r="E56" s="1" t="n"/>
      <c r="F56" s="4" t="n"/>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22">
      <c r="A57" s="1" t="n"/>
      <c r="B57" s="1" t="n"/>
      <c r="C57" s="1" t="n"/>
      <c r="D57" s="1" t="n"/>
      <c r="E57" s="1" t="n"/>
      <c r="F57" s="4" t="n"/>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22">
      <c r="A58" s="1" t="n"/>
      <c r="B58" s="1" t="n"/>
      <c r="C58" s="1" t="n"/>
      <c r="D58" s="1" t="n"/>
      <c r="E58" s="1" t="n"/>
      <c r="F58" s="4" t="n"/>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22">
      <c r="A59" s="1" t="n"/>
      <c r="B59" s="1" t="n"/>
      <c r="C59" s="1" t="n"/>
      <c r="D59" s="1" t="n"/>
      <c r="E59" s="1" t="n"/>
      <c r="F59" s="4" t="n"/>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22">
      <c r="A60" s="1" t="n"/>
      <c r="B60" s="1" t="n"/>
      <c r="C60" s="1" t="n"/>
      <c r="D60" s="1" t="n"/>
      <c r="E60" s="1" t="n"/>
      <c r="F60" s="4" t="n"/>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22">
      <c r="A61" s="1" t="n"/>
      <c r="B61" s="1" t="n"/>
      <c r="C61" s="1" t="n"/>
      <c r="D61" s="1" t="n"/>
      <c r="E61" s="1" t="n"/>
      <c r="F61" s="4" t="n"/>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22">
      <c r="A62" s="1" t="n"/>
      <c r="B62" s="1" t="n"/>
      <c r="C62" s="1" t="n"/>
      <c r="D62" s="1" t="n"/>
      <c r="E62" s="1" t="n"/>
      <c r="F62" s="4" t="n"/>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22">
      <c r="A63" s="1" t="n"/>
      <c r="B63" s="1" t="n"/>
      <c r="C63" s="1" t="n"/>
      <c r="D63" s="1" t="n"/>
      <c r="E63" s="1" t="n"/>
      <c r="F63" s="4" t="n"/>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22">
      <c r="A64" s="1" t="n"/>
      <c r="B64" s="1" t="n"/>
      <c r="C64" s="1" t="n"/>
      <c r="D64" s="1" t="n"/>
      <c r="E64" s="1" t="n"/>
      <c r="F64" s="4" t="n"/>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22">
      <c r="A65" s="1" t="n"/>
      <c r="B65" s="1" t="n"/>
      <c r="C65" s="1" t="n"/>
      <c r="D65" s="1" t="n"/>
      <c r="E65" s="1" t="n"/>
      <c r="F65" s="4" t="n"/>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22">
      <c r="A66" s="1" t="n"/>
      <c r="B66" s="1" t="n"/>
      <c r="C66" s="1" t="n"/>
      <c r="D66" s="1" t="n"/>
      <c r="E66" s="1" t="n"/>
      <c r="F66" s="4" t="n"/>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22">
      <c r="A67" s="1" t="n"/>
      <c r="B67" s="1" t="n"/>
      <c r="C67" s="1" t="n"/>
      <c r="D67" s="1" t="n"/>
      <c r="E67" s="1" t="n"/>
      <c r="F67" s="4" t="n"/>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22">
      <c r="A68" s="1" t="n"/>
      <c r="B68" s="1" t="n"/>
      <c r="C68" s="1" t="n"/>
      <c r="D68" s="1" t="n"/>
      <c r="E68" s="1" t="n"/>
      <c r="F68" s="4" t="n"/>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22">
      <c r="A69" s="1" t="n"/>
      <c r="B69" s="1" t="n"/>
      <c r="C69" s="1" t="n"/>
      <c r="D69" s="1" t="n"/>
      <c r="E69" s="1" t="n"/>
      <c r="F69" s="4" t="n"/>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22">
      <c r="A70" s="1" t="n"/>
      <c r="B70" s="1" t="n"/>
      <c r="C70" s="1" t="n"/>
      <c r="D70" s="1" t="n"/>
      <c r="E70" s="1" t="n"/>
      <c r="F70" s="4" t="n"/>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22">
      <c r="A71" s="1" t="n"/>
      <c r="B71" s="1" t="n"/>
      <c r="C71" s="1" t="n"/>
      <c r="D71" s="1" t="n"/>
      <c r="E71" s="1" t="n"/>
      <c r="F71" s="4" t="n"/>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22">
      <c r="A72" s="1" t="n"/>
      <c r="B72" s="1" t="n"/>
      <c r="C72" s="1" t="n"/>
      <c r="D72" s="1" t="n"/>
      <c r="E72" s="1" t="n"/>
      <c r="F72" s="4" t="n"/>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22">
      <c r="A73" s="1" t="n"/>
      <c r="B73" s="1" t="n"/>
      <c r="C73" s="1" t="n"/>
      <c r="D73" s="1" t="n"/>
      <c r="E73" s="1" t="n"/>
      <c r="F73" s="4" t="n"/>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22">
      <c r="A74" s="1" t="n"/>
      <c r="B74" s="1" t="n"/>
      <c r="C74" s="1" t="n"/>
      <c r="D74" s="1" t="n"/>
      <c r="E74" s="1" t="n"/>
      <c r="F74" s="4" t="n"/>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22">
      <c r="A75" s="1" t="n"/>
      <c r="B75" s="1" t="n"/>
      <c r="C75" s="1" t="n"/>
      <c r="D75" s="1" t="n"/>
      <c r="E75" s="1" t="n"/>
      <c r="F75" s="4" t="n"/>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22">
      <c r="A76" s="1" t="n"/>
      <c r="B76" s="1" t="n"/>
      <c r="C76" s="1" t="n"/>
      <c r="D76" s="1" t="n"/>
      <c r="E76" s="1" t="n"/>
      <c r="F76" s="4" t="n"/>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22">
      <c r="A77" s="1" t="n"/>
      <c r="B77" s="1" t="n"/>
      <c r="C77" s="1" t="n"/>
      <c r="D77" s="1" t="n"/>
      <c r="E77" s="1" t="n"/>
      <c r="F77" s="4" t="n"/>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22">
      <c r="A78" s="1" t="n"/>
      <c r="B78" s="1" t="n"/>
      <c r="C78" s="1" t="n"/>
      <c r="D78" s="1" t="n"/>
      <c r="E78" s="1" t="n"/>
      <c r="F78" s="4" t="n"/>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22">
      <c r="A79" s="1" t="n"/>
      <c r="B79" s="1" t="n"/>
      <c r="C79" s="1" t="n"/>
      <c r="D79" s="1" t="n"/>
      <c r="E79" s="1" t="n"/>
      <c r="F79" s="4" t="n"/>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22">
      <c r="A80" s="1" t="n"/>
      <c r="B80" s="1" t="n"/>
      <c r="C80" s="1" t="n"/>
      <c r="D80" s="1" t="n"/>
      <c r="E80" s="1" t="n"/>
      <c r="F80" s="4" t="n"/>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22">
      <c r="A81" s="1" t="n"/>
      <c r="B81" s="1" t="n"/>
      <c r="C81" s="1" t="n"/>
      <c r="D81" s="1" t="n"/>
      <c r="E81" s="1" t="n"/>
      <c r="F81" s="4" t="n"/>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22">
      <c r="A82" s="1" t="n"/>
      <c r="B82" s="1" t="n"/>
      <c r="C82" s="1" t="n"/>
      <c r="D82" s="1" t="n"/>
      <c r="E82" s="1" t="n"/>
      <c r="F82" s="4" t="n"/>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22">
      <c r="A83" s="1" t="n"/>
      <c r="B83" s="1" t="n"/>
      <c r="C83" s="1" t="n"/>
      <c r="D83" s="1" t="n"/>
      <c r="E83" s="1" t="n"/>
      <c r="F83" s="4" t="n"/>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22">
      <c r="A84" s="1" t="n"/>
      <c r="B84" s="1" t="n"/>
      <c r="C84" s="1" t="n"/>
      <c r="D84" s="1" t="n"/>
      <c r="E84" s="1" t="n"/>
      <c r="F84" s="4" t="n"/>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22">
      <c r="A85" s="1" t="n"/>
      <c r="B85" s="1" t="n"/>
      <c r="C85" s="1" t="n"/>
      <c r="D85" s="1" t="n"/>
      <c r="E85" s="1" t="n"/>
      <c r="F85" s="4" t="n"/>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22">
      <c r="A86" s="1" t="n"/>
      <c r="B86" s="1" t="n"/>
      <c r="C86" s="1" t="n"/>
      <c r="D86" s="1" t="n"/>
      <c r="E86" s="1" t="n"/>
      <c r="F86" s="4" t="n"/>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22">
      <c r="A87" s="1" t="n"/>
      <c r="B87" s="1" t="n"/>
      <c r="C87" s="1" t="n"/>
      <c r="D87" s="1" t="n"/>
      <c r="E87" s="1" t="n"/>
      <c r="F87" s="4" t="n"/>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22">
      <c r="A88" s="1" t="n"/>
      <c r="B88" s="1" t="n"/>
      <c r="C88" s="1" t="n"/>
      <c r="D88" s="1" t="n"/>
      <c r="E88" s="1" t="n"/>
      <c r="F88" s="4" t="n"/>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22">
      <c r="A89" s="1" t="n"/>
      <c r="B89" s="1" t="n"/>
      <c r="C89" s="1" t="n"/>
      <c r="D89" s="1" t="n"/>
      <c r="E89" s="1" t="n"/>
      <c r="F89" s="4" t="n"/>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22">
      <c r="A90" s="1" t="n"/>
      <c r="B90" s="1" t="n"/>
      <c r="C90" s="1" t="n"/>
      <c r="D90" s="1" t="n"/>
      <c r="E90" s="1" t="n"/>
      <c r="F90" s="4" t="n"/>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22">
      <c r="A91" s="1" t="n"/>
      <c r="B91" s="1" t="n"/>
      <c r="C91" s="1" t="n"/>
      <c r="D91" s="1" t="n"/>
      <c r="E91" s="1" t="n"/>
      <c r="F91" s="4" t="n"/>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22">
      <c r="A92" s="1" t="n"/>
      <c r="B92" s="1" t="n"/>
      <c r="C92" s="1" t="n"/>
      <c r="D92" s="1" t="n"/>
      <c r="E92" s="1" t="n"/>
      <c r="F92" s="4" t="n"/>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22">
      <c r="A93" s="1" t="n"/>
      <c r="B93" s="1" t="n"/>
      <c r="C93" s="1" t="n"/>
      <c r="D93" s="1" t="n"/>
      <c r="E93" s="1" t="n"/>
      <c r="F93" s="4" t="n"/>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22">
      <c r="A94" s="1" t="n"/>
      <c r="B94" s="1" t="n"/>
      <c r="C94" s="1" t="n"/>
      <c r="D94" s="1" t="n"/>
      <c r="E94" s="1" t="n"/>
      <c r="F94" s="4" t="n"/>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22">
      <c r="A95" s="1" t="n"/>
      <c r="B95" s="1" t="n"/>
      <c r="C95" s="1" t="n"/>
      <c r="D95" s="1" t="n"/>
      <c r="E95" s="1" t="n"/>
      <c r="F95" s="4" t="n"/>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22">
      <c r="A96" s="1" t="n"/>
      <c r="B96" s="1" t="n"/>
      <c r="C96" s="1" t="n"/>
      <c r="D96" s="1" t="n"/>
      <c r="E96" s="1" t="n"/>
      <c r="F96" s="4" t="n"/>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22">
      <c r="A97" s="1" t="n"/>
      <c r="B97" s="1" t="n"/>
      <c r="C97" s="1" t="n"/>
      <c r="D97" s="1" t="n"/>
      <c r="E97" s="1" t="n"/>
      <c r="F97" s="4" t="n"/>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22">
      <c r="A98" s="1" t="n"/>
      <c r="B98" s="1" t="n"/>
      <c r="C98" s="1" t="n"/>
      <c r="D98" s="1" t="n"/>
      <c r="E98" s="1" t="n"/>
      <c r="F98" s="4" t="n"/>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22">
      <c r="A99" s="1" t="n"/>
      <c r="B99" s="1" t="n"/>
      <c r="C99" s="1" t="n"/>
      <c r="D99" s="1" t="n"/>
      <c r="E99" s="1" t="n"/>
      <c r="F99" s="4" t="n"/>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22">
      <c r="A100" s="1" t="n"/>
      <c r="B100" s="1" t="n"/>
      <c r="C100" s="1" t="n"/>
      <c r="D100" s="1" t="n"/>
      <c r="E100" s="1" t="n"/>
      <c r="F100" s="4" t="n"/>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22">
      <c r="A101" s="1" t="n"/>
      <c r="B101" s="1" t="n"/>
      <c r="C101" s="1" t="n"/>
      <c r="D101" s="1" t="n"/>
      <c r="E101" s="1" t="n"/>
      <c r="F101" s="4" t="n"/>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22">
      <c r="A102" s="1" t="n"/>
      <c r="B102" s="1" t="n"/>
      <c r="C102" s="1" t="n"/>
      <c r="D102" s="1" t="n"/>
      <c r="E102" s="1" t="n"/>
      <c r="F102" s="4" t="n"/>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22">
      <c r="A103" s="1" t="n"/>
      <c r="B103" s="1" t="n"/>
      <c r="C103" s="1" t="n"/>
      <c r="D103" s="1" t="n"/>
      <c r="E103" s="1" t="n"/>
      <c r="F103" s="4" t="n"/>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22">
      <c r="A104" s="1" t="n"/>
      <c r="B104" s="1" t="n"/>
      <c r="C104" s="1" t="n"/>
      <c r="D104" s="1" t="n"/>
      <c r="E104" s="1" t="n"/>
      <c r="F104" s="4" t="n"/>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22">
      <c r="A105" s="1" t="n"/>
      <c r="B105" s="1" t="n"/>
      <c r="C105" s="1" t="n"/>
      <c r="D105" s="1" t="n"/>
      <c r="E105" s="1" t="n"/>
      <c r="F105" s="4" t="n"/>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22">
      <c r="A106" s="1" t="n"/>
      <c r="B106" s="1" t="n"/>
      <c r="C106" s="1" t="n"/>
      <c r="D106" s="1" t="n"/>
      <c r="E106" s="1" t="n"/>
      <c r="F106" s="4" t="n"/>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22">
      <c r="A107" s="1" t="n"/>
      <c r="B107" s="1" t="n"/>
      <c r="C107" s="1" t="n"/>
      <c r="D107" s="1" t="n"/>
      <c r="E107" s="1" t="n"/>
      <c r="F107" s="4" t="n"/>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22">
      <c r="A108" s="1" t="n"/>
      <c r="B108" s="1" t="n"/>
      <c r="C108" s="1" t="n"/>
      <c r="D108" s="1" t="n"/>
      <c r="E108" s="1" t="n"/>
      <c r="F108" s="4" t="n"/>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22">
      <c r="A109" s="1" t="n"/>
      <c r="B109" s="1" t="n"/>
      <c r="C109" s="1" t="n"/>
      <c r="D109" s="1" t="n"/>
      <c r="E109" s="1" t="n"/>
      <c r="F109" s="4" t="n"/>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22">
      <c r="A110" s="1" t="n"/>
      <c r="B110" s="1" t="n"/>
      <c r="C110" s="1" t="n"/>
      <c r="D110" s="1" t="n"/>
      <c r="E110" s="1" t="n"/>
      <c r="F110" s="4" t="n"/>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22">
      <c r="A111" s="1" t="n"/>
      <c r="B111" s="1" t="n"/>
      <c r="C111" s="1" t="n"/>
      <c r="D111" s="1" t="n"/>
      <c r="E111" s="1" t="n"/>
      <c r="F111" s="4" t="n"/>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22">
      <c r="A112" s="1" t="n"/>
      <c r="B112" s="1" t="n"/>
      <c r="C112" s="1" t="n"/>
      <c r="D112" s="1" t="n"/>
      <c r="E112" s="1" t="n"/>
      <c r="F112" s="4" t="n"/>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22">
      <c r="A113" s="1" t="n"/>
      <c r="B113" s="1" t="n"/>
      <c r="C113" s="1" t="n"/>
      <c r="D113" s="1" t="n"/>
      <c r="E113" s="1" t="n"/>
      <c r="F113" s="4" t="n"/>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22">
      <c r="A114" s="1" t="n"/>
      <c r="B114" s="1" t="n"/>
      <c r="C114" s="1" t="n"/>
      <c r="D114" s="1" t="n"/>
      <c r="E114" s="1" t="n"/>
      <c r="F114" s="4" t="n"/>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22">
      <c r="A115" s="1" t="n"/>
      <c r="B115" s="1" t="n"/>
      <c r="C115" s="1" t="n"/>
      <c r="D115" s="1" t="n"/>
      <c r="E115" s="1" t="n"/>
      <c r="F115" s="4" t="n"/>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22">
      <c r="A116" s="1" t="n"/>
      <c r="B116" s="1" t="n"/>
      <c r="C116" s="1" t="n"/>
      <c r="D116" s="1" t="n"/>
      <c r="E116" s="1" t="n"/>
      <c r="F116" s="4" t="n"/>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22">
      <c r="A117" s="1" t="n"/>
      <c r="B117" s="1" t="n"/>
      <c r="C117" s="1" t="n"/>
      <c r="D117" s="1" t="n"/>
      <c r="E117" s="1" t="n"/>
      <c r="F117" s="4" t="n"/>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22">
      <c r="A118" s="1" t="n"/>
      <c r="B118" s="1" t="n"/>
      <c r="C118" s="1" t="n"/>
      <c r="D118" s="1" t="n"/>
      <c r="E118" s="1" t="n"/>
      <c r="F118" s="4" t="n"/>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22">
      <c r="A119" s="1" t="n"/>
      <c r="B119" s="1" t="n"/>
      <c r="C119" s="1" t="n"/>
      <c r="D119" s="1" t="n"/>
      <c r="E119" s="1" t="n"/>
      <c r="F119" s="4" t="n"/>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22">
      <c r="A120" s="1" t="n"/>
      <c r="B120" s="1" t="n"/>
      <c r="C120" s="1" t="n"/>
      <c r="D120" s="1" t="n"/>
      <c r="E120" s="1" t="n"/>
      <c r="F120" s="4" t="n"/>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22">
      <c r="A121" s="1" t="n"/>
      <c r="B121" s="1" t="n"/>
      <c r="C121" s="1" t="n"/>
      <c r="D121" s="1" t="n"/>
      <c r="E121" s="1" t="n"/>
      <c r="F121" s="4" t="n"/>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22">
      <c r="A122" s="1" t="n"/>
      <c r="B122" s="1" t="n"/>
      <c r="C122" s="1" t="n"/>
      <c r="D122" s="1" t="n"/>
      <c r="E122" s="1" t="n"/>
      <c r="F122" s="4" t="n"/>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22">
      <c r="A123" s="1" t="n"/>
      <c r="B123" s="1" t="n"/>
      <c r="C123" s="1" t="n"/>
      <c r="D123" s="1" t="n"/>
      <c r="E123" s="1" t="n"/>
      <c r="F123" s="4" t="n"/>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22">
      <c r="A124" s="1" t="n"/>
      <c r="B124" s="1" t="n"/>
      <c r="C124" s="1" t="n"/>
      <c r="D124" s="1" t="n"/>
      <c r="E124" s="1" t="n"/>
      <c r="F124" s="4" t="n"/>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22">
      <c r="A125" s="1" t="n"/>
      <c r="B125" s="1" t="n"/>
      <c r="C125" s="1" t="n"/>
      <c r="D125" s="1" t="n"/>
      <c r="E125" s="1" t="n"/>
      <c r="F125" s="4" t="n"/>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22">
      <c r="A126" s="1" t="n"/>
      <c r="B126" s="1" t="n"/>
      <c r="C126" s="1" t="n"/>
      <c r="D126" s="1" t="n"/>
      <c r="E126" s="1" t="n"/>
      <c r="F126" s="4" t="n"/>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22">
      <c r="A127" s="1" t="n"/>
      <c r="B127" s="1" t="n"/>
      <c r="C127" s="1" t="n"/>
      <c r="D127" s="1" t="n"/>
      <c r="E127" s="1" t="n"/>
      <c r="F127" s="4" t="n"/>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22">
      <c r="A128" s="1" t="n"/>
      <c r="B128" s="1" t="n"/>
      <c r="C128" s="1" t="n"/>
      <c r="D128" s="1" t="n"/>
      <c r="E128" s="1" t="n"/>
      <c r="F128" s="4" t="n"/>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22">
      <c r="A129" s="1" t="n"/>
      <c r="B129" s="1" t="n"/>
      <c r="C129" s="1" t="n"/>
      <c r="D129" s="1" t="n"/>
      <c r="E129" s="1" t="n"/>
      <c r="F129" s="4" t="n"/>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22">
      <c r="A130" s="1" t="n"/>
      <c r="B130" s="1" t="n"/>
      <c r="C130" s="1" t="n"/>
      <c r="D130" s="1" t="n"/>
      <c r="E130" s="1" t="n"/>
      <c r="F130" s="4" t="n"/>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22">
      <c r="A131" s="1" t="n"/>
      <c r="B131" s="1" t="n"/>
      <c r="C131" s="1" t="n"/>
      <c r="D131" s="1" t="n"/>
      <c r="E131" s="1" t="n"/>
      <c r="F131" s="4" t="n"/>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22">
      <c r="A132" s="1" t="n"/>
      <c r="B132" s="1" t="n"/>
      <c r="C132" s="1" t="n"/>
      <c r="D132" s="1" t="n"/>
      <c r="E132" s="1" t="n"/>
      <c r="F132" s="4" t="n"/>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22">
      <c r="A133" s="1" t="n"/>
      <c r="B133" s="1" t="n"/>
      <c r="C133" s="1" t="n"/>
      <c r="D133" s="1" t="n"/>
      <c r="E133" s="1" t="n"/>
      <c r="F133" s="4" t="n"/>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22">
      <c r="A134" s="1" t="n"/>
      <c r="B134" s="1" t="n"/>
      <c r="C134" s="1" t="n"/>
      <c r="D134" s="1" t="n"/>
      <c r="E134" s="1" t="n"/>
      <c r="F134" s="4" t="n"/>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22">
      <c r="A135" s="1" t="n"/>
      <c r="B135" s="1" t="n"/>
      <c r="C135" s="1" t="n"/>
      <c r="D135" s="1" t="n"/>
      <c r="E135" s="1" t="n"/>
      <c r="F135" s="4" t="n"/>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22">
      <c r="A136" s="1" t="n"/>
      <c r="B136" s="1" t="n"/>
      <c r="C136" s="1" t="n"/>
      <c r="D136" s="1" t="n"/>
      <c r="E136" s="1" t="n"/>
      <c r="F136" s="4" t="n"/>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22">
      <c r="A137" s="1" t="n"/>
      <c r="B137" s="1" t="n"/>
      <c r="C137" s="1" t="n"/>
      <c r="D137" s="1" t="n"/>
      <c r="E137" s="1" t="n"/>
      <c r="F137" s="4" t="n"/>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22">
      <c r="A138" s="1" t="n"/>
      <c r="B138" s="1" t="n"/>
      <c r="C138" s="1" t="n"/>
      <c r="D138" s="1" t="n"/>
      <c r="E138" s="1" t="n"/>
      <c r="F138" s="4" t="n"/>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22">
      <c r="A139" s="1" t="n"/>
      <c r="B139" s="1" t="n"/>
      <c r="C139" s="1" t="n"/>
      <c r="D139" s="1" t="n"/>
      <c r="E139" s="1" t="n"/>
      <c r="F139" s="4" t="n"/>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22">
      <c r="A140" s="1" t="n"/>
      <c r="B140" s="1" t="n"/>
      <c r="C140" s="1" t="n"/>
      <c r="D140" s="1" t="n"/>
      <c r="E140" s="1" t="n"/>
      <c r="F140" s="4" t="n"/>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22">
      <c r="A141" s="1" t="n"/>
      <c r="B141" s="1" t="n"/>
      <c r="C141" s="1" t="n"/>
      <c r="D141" s="1" t="n"/>
      <c r="E141" s="1" t="n"/>
      <c r="F141" s="4" t="n"/>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22">
      <c r="A142" s="1" t="n"/>
      <c r="B142" s="1" t="n"/>
      <c r="C142" s="1" t="n"/>
      <c r="D142" s="1" t="n"/>
      <c r="E142" s="1" t="n"/>
      <c r="F142" s="4" t="n"/>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22">
      <c r="A143" s="1" t="n"/>
      <c r="B143" s="1" t="n"/>
      <c r="C143" s="1" t="n"/>
      <c r="D143" s="1" t="n"/>
      <c r="E143" s="1" t="n"/>
      <c r="F143" s="4" t="n"/>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22">
      <c r="A144" s="1" t="n"/>
      <c r="B144" s="1" t="n"/>
      <c r="C144" s="1" t="n"/>
      <c r="D144" s="1" t="n"/>
      <c r="E144" s="1" t="n"/>
      <c r="F144" s="4" t="n"/>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22">
      <c r="A145" s="1" t="n"/>
      <c r="B145" s="1" t="n"/>
      <c r="C145" s="1" t="n"/>
      <c r="D145" s="1" t="n"/>
      <c r="E145" s="1" t="n"/>
      <c r="F145" s="4" t="n"/>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22">
      <c r="A146" s="1" t="n"/>
      <c r="B146" s="1" t="n"/>
      <c r="C146" s="1" t="n"/>
      <c r="D146" s="1" t="n"/>
      <c r="E146" s="1" t="n"/>
      <c r="F146" s="4" t="n"/>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22">
      <c r="A147" s="1" t="n"/>
      <c r="B147" s="1" t="n"/>
      <c r="C147" s="1" t="n"/>
      <c r="D147" s="1" t="n"/>
      <c r="E147" s="1" t="n"/>
      <c r="F147" s="4" t="n"/>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22">
      <c r="A148" s="1" t="n"/>
      <c r="B148" s="1" t="n"/>
      <c r="C148" s="1" t="n"/>
      <c r="D148" s="1" t="n"/>
      <c r="E148" s="1" t="n"/>
      <c r="F148" s="4" t="n"/>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22">
      <c r="A149" s="1" t="n"/>
      <c r="B149" s="1" t="n"/>
      <c r="C149" s="1" t="n"/>
      <c r="D149" s="1" t="n"/>
      <c r="E149" s="1" t="n"/>
      <c r="F149" s="4" t="n"/>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22">
      <c r="A150" s="1" t="n"/>
      <c r="B150" s="1" t="n"/>
      <c r="C150" s="1" t="n"/>
      <c r="D150" s="1" t="n"/>
      <c r="E150" s="1" t="n"/>
      <c r="F150" s="4" t="n"/>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22">
      <c r="A151" s="1" t="n"/>
      <c r="B151" s="1" t="n"/>
      <c r="C151" s="1" t="n"/>
      <c r="D151" s="1" t="n"/>
      <c r="E151" s="1" t="n"/>
      <c r="F151" s="4" t="n"/>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22">
      <c r="A152" s="1" t="n"/>
      <c r="B152" s="1" t="n"/>
      <c r="C152" s="1" t="n"/>
      <c r="D152" s="1" t="n"/>
      <c r="E152" s="1" t="n"/>
      <c r="F152" s="4" t="n"/>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22">
      <c r="A153" s="1" t="n"/>
      <c r="B153" s="1" t="n"/>
      <c r="C153" s="1" t="n"/>
      <c r="D153" s="1" t="n"/>
      <c r="E153" s="1" t="n"/>
      <c r="F153" s="4" t="n"/>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22">
      <c r="A154" s="1" t="n"/>
      <c r="B154" s="1" t="n"/>
      <c r="C154" s="1" t="n"/>
      <c r="D154" s="1" t="n"/>
      <c r="E154" s="1" t="n"/>
      <c r="F154" s="4" t="n"/>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22">
      <c r="A155" s="1" t="n"/>
      <c r="B155" s="1" t="n"/>
      <c r="C155" s="1" t="n"/>
      <c r="D155" s="1" t="n"/>
      <c r="E155" s="1" t="n"/>
      <c r="F155" s="4" t="n"/>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22">
      <c r="A156" s="1" t="n"/>
      <c r="B156" s="1" t="n"/>
      <c r="C156" s="1" t="n"/>
      <c r="D156" s="1" t="n"/>
      <c r="E156" s="1" t="n"/>
      <c r="F156" s="4" t="n"/>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22">
      <c r="A157" s="1" t="n"/>
      <c r="B157" s="1" t="n"/>
      <c r="C157" s="1" t="n"/>
      <c r="D157" s="1" t="n"/>
      <c r="E157" s="1" t="n"/>
      <c r="F157" s="4" t="n"/>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22">
      <c r="A158" s="1" t="n"/>
      <c r="B158" s="1" t="n"/>
      <c r="C158" s="1" t="n"/>
      <c r="D158" s="1" t="n"/>
      <c r="E158" s="1" t="n"/>
      <c r="F158" s="4" t="n"/>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22">
      <c r="A159" s="1" t="n"/>
      <c r="B159" s="1" t="n"/>
      <c r="C159" s="1" t="n"/>
      <c r="D159" s="1" t="n"/>
      <c r="E159" s="1" t="n"/>
      <c r="F159" s="4" t="n"/>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22">
      <c r="A160" s="1" t="n"/>
      <c r="B160" s="1" t="n"/>
      <c r="C160" s="1" t="n"/>
      <c r="D160" s="1" t="n"/>
      <c r="E160" s="1" t="n"/>
      <c r="F160" s="4" t="n"/>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22">
      <c r="A161" s="1" t="n"/>
      <c r="B161" s="1" t="n"/>
      <c r="C161" s="1" t="n"/>
      <c r="D161" s="1" t="n"/>
      <c r="E161" s="1" t="n"/>
      <c r="F161" s="4" t="n"/>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22">
      <c r="A162" s="1" t="n"/>
      <c r="B162" s="1" t="n"/>
      <c r="C162" s="1" t="n"/>
      <c r="D162" s="1" t="n"/>
      <c r="E162" s="1" t="n"/>
      <c r="F162" s="4" t="n"/>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22">
      <c r="A163" s="1" t="n"/>
      <c r="B163" s="1" t="n"/>
      <c r="C163" s="1" t="n"/>
      <c r="D163" s="1" t="n"/>
      <c r="E163" s="1" t="n"/>
      <c r="F163" s="4" t="n"/>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22">
      <c r="A164" s="1" t="n"/>
      <c r="B164" s="1" t="n"/>
      <c r="C164" s="1" t="n"/>
      <c r="D164" s="1" t="n"/>
      <c r="E164" s="1" t="n"/>
      <c r="F164" s="4" t="n"/>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22">
      <c r="A165" s="1" t="n"/>
      <c r="B165" s="1" t="n"/>
      <c r="C165" s="1" t="n"/>
      <c r="D165" s="1" t="n"/>
      <c r="E165" s="1" t="n"/>
      <c r="F165" s="4" t="n"/>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22">
      <c r="A166" s="1" t="n"/>
      <c r="B166" s="1" t="n"/>
      <c r="C166" s="1" t="n"/>
      <c r="D166" s="1" t="n"/>
      <c r="E166" s="1" t="n"/>
      <c r="F166" s="4" t="n"/>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22">
      <c r="A167" s="1" t="n"/>
      <c r="B167" s="1" t="n"/>
      <c r="C167" s="1" t="n"/>
      <c r="D167" s="1" t="n"/>
      <c r="E167" s="1" t="n"/>
      <c r="F167" s="4" t="n"/>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22">
      <c r="A168" s="1" t="n"/>
      <c r="B168" s="1" t="n"/>
      <c r="C168" s="1" t="n"/>
      <c r="D168" s="1" t="n"/>
      <c r="E168" s="1" t="n"/>
      <c r="F168" s="4" t="n"/>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22">
      <c r="A169" s="1" t="n"/>
      <c r="B169" s="1" t="n"/>
      <c r="C169" s="1" t="n"/>
      <c r="D169" s="1" t="n"/>
      <c r="E169" s="1" t="n"/>
      <c r="F169" s="4" t="n"/>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22">
      <c r="A170" s="1" t="n"/>
      <c r="B170" s="1" t="n"/>
      <c r="C170" s="1" t="n"/>
      <c r="D170" s="1" t="n"/>
      <c r="E170" s="1" t="n"/>
      <c r="F170" s="4" t="n"/>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22">
      <c r="A171" s="1" t="n"/>
      <c r="B171" s="1" t="n"/>
      <c r="C171" s="1" t="n"/>
      <c r="D171" s="1" t="n"/>
      <c r="E171" s="1" t="n"/>
      <c r="F171" s="4" t="n"/>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22">
      <c r="A172" s="1" t="n"/>
      <c r="B172" s="1" t="n"/>
      <c r="C172" s="1" t="n"/>
      <c r="D172" s="1" t="n"/>
      <c r="E172" s="1" t="n"/>
      <c r="F172" s="4" t="n"/>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22">
      <c r="A173" s="1" t="n"/>
      <c r="B173" s="1" t="n"/>
      <c r="C173" s="1" t="n"/>
      <c r="D173" s="1" t="n"/>
      <c r="E173" s="1" t="n"/>
      <c r="F173" s="4" t="n"/>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22">
      <c r="A174" s="1" t="n"/>
      <c r="B174" s="1" t="n"/>
      <c r="C174" s="1" t="n"/>
      <c r="D174" s="1" t="n"/>
      <c r="E174" s="1" t="n"/>
      <c r="F174" s="4" t="n"/>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22">
      <c r="A175" s="1" t="n"/>
      <c r="B175" s="1" t="n"/>
      <c r="C175" s="1" t="n"/>
      <c r="D175" s="1" t="n"/>
      <c r="E175" s="1" t="n"/>
      <c r="F175" s="4" t="n"/>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22">
      <c r="A176" s="1" t="n"/>
      <c r="B176" s="1" t="n"/>
      <c r="C176" s="1" t="n"/>
      <c r="D176" s="1" t="n"/>
      <c r="E176" s="1" t="n"/>
      <c r="F176" s="4" t="n"/>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22">
      <c r="A177" s="1" t="n"/>
      <c r="B177" s="1" t="n"/>
      <c r="C177" s="1" t="n"/>
      <c r="D177" s="1" t="n"/>
      <c r="E177" s="1"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22">
      <c r="A178" s="1" t="n"/>
      <c r="B178" s="1" t="n"/>
      <c r="C178" s="1" t="n"/>
      <c r="D178" s="1" t="n"/>
      <c r="E178" s="1" t="n"/>
      <c r="F178" s="4" t="n"/>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22">
      <c r="A179" s="1" t="n"/>
      <c r="B179" s="1" t="n"/>
      <c r="C179" s="1" t="n"/>
      <c r="D179" s="1" t="n"/>
      <c r="E179" s="1" t="n"/>
      <c r="F179" s="4" t="n"/>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22">
      <c r="A180" s="1" t="n"/>
      <c r="B180" s="1" t="n"/>
      <c r="C180" s="1" t="n"/>
      <c r="D180" s="1" t="n"/>
      <c r="E180" s="1" t="n"/>
      <c r="F180" s="4" t="n"/>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22">
      <c r="A181" s="1" t="n"/>
      <c r="B181" s="1" t="n"/>
      <c r="C181" s="1" t="n"/>
      <c r="D181" s="1" t="n"/>
      <c r="E181" s="1" t="n"/>
      <c r="F181" s="4" t="n"/>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22">
      <c r="A182" s="1" t="n"/>
      <c r="B182" s="1" t="n"/>
      <c r="C182" s="1" t="n"/>
      <c r="D182" s="1" t="n"/>
      <c r="E182" s="1" t="n"/>
      <c r="F182" s="4" t="n"/>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22">
      <c r="A183" s="1" t="n"/>
      <c r="B183" s="1" t="n"/>
      <c r="C183" s="1" t="n"/>
      <c r="D183" s="1" t="n"/>
      <c r="E183" s="1" t="n"/>
      <c r="F183" s="4" t="n"/>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22">
      <c r="A184" s="1" t="n"/>
      <c r="B184" s="1" t="n"/>
      <c r="C184" s="1" t="n"/>
      <c r="D184" s="1" t="n"/>
      <c r="E184" s="1" t="n"/>
      <c r="F184" s="4" t="n"/>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22">
      <c r="A185" s="1" t="n"/>
      <c r="B185" s="1" t="n"/>
      <c r="C185" s="1" t="n"/>
      <c r="D185" s="1" t="n"/>
      <c r="E185" s="1" t="n"/>
      <c r="F185" s="4" t="n"/>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22">
      <c r="A186" s="1" t="n"/>
      <c r="B186" s="1" t="n"/>
      <c r="C186" s="1" t="n"/>
      <c r="D186" s="1" t="n"/>
      <c r="E186" s="1" t="n"/>
      <c r="F186" s="4" t="n"/>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22">
      <c r="A187" s="1" t="n"/>
      <c r="B187" s="1" t="n"/>
      <c r="C187" s="1" t="n"/>
      <c r="D187" s="1" t="n"/>
      <c r="E187" s="1" t="n"/>
      <c r="F187" s="4" t="n"/>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22">
      <c r="A188" s="1" t="n"/>
      <c r="B188" s="1" t="n"/>
      <c r="C188" s="1" t="n"/>
      <c r="D188" s="1" t="n"/>
      <c r="E188" s="1" t="n"/>
      <c r="F188" s="4" t="n"/>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22">
      <c r="A189" s="1" t="n"/>
      <c r="B189" s="1" t="n"/>
      <c r="C189" s="1" t="n"/>
      <c r="D189" s="1" t="n"/>
      <c r="E189" s="1" t="n"/>
      <c r="F189" s="4" t="n"/>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22">
      <c r="A190" s="1" t="n"/>
      <c r="B190" s="1" t="n"/>
      <c r="C190" s="1" t="n"/>
      <c r="D190" s="1" t="n"/>
      <c r="E190" s="1" t="n"/>
      <c r="F190" s="4" t="n"/>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22">
      <c r="A191" s="1" t="n"/>
      <c r="B191" s="1" t="n"/>
      <c r="C191" s="1" t="n"/>
      <c r="D191" s="1" t="n"/>
      <c r="E191" s="1" t="n"/>
      <c r="F191" s="4" t="n"/>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22">
      <c r="A192" s="1" t="n"/>
      <c r="B192" s="1" t="n"/>
      <c r="C192" s="1" t="n"/>
      <c r="D192" s="1" t="n"/>
      <c r="E192" s="1" t="n"/>
      <c r="F192" s="4" t="n"/>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22">
      <c r="A193" s="1" t="n"/>
      <c r="B193" s="1" t="n"/>
      <c r="C193" s="1" t="n"/>
      <c r="D193" s="1" t="n"/>
      <c r="E193" s="1" t="n"/>
      <c r="F193" s="4" t="n"/>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22">
      <c r="A194" s="1" t="n"/>
      <c r="B194" s="1" t="n"/>
      <c r="C194" s="1" t="n"/>
      <c r="D194" s="1" t="n"/>
      <c r="E194" s="1" t="n"/>
      <c r="F194" s="4" t="n"/>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22">
      <c r="A195" s="1" t="n"/>
      <c r="B195" s="1" t="n"/>
      <c r="C195" s="1" t="n"/>
      <c r="D195" s="1" t="n"/>
      <c r="E195" s="1" t="n"/>
      <c r="F195" s="4" t="n"/>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22">
      <c r="A196" s="1" t="n"/>
      <c r="B196" s="1" t="n"/>
      <c r="C196" s="1" t="n"/>
      <c r="D196" s="1" t="n"/>
      <c r="E196" s="1" t="n"/>
      <c r="F196" s="4" t="n"/>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22">
      <c r="A197" s="1" t="n"/>
      <c r="B197" s="1" t="n"/>
      <c r="C197" s="1" t="n"/>
      <c r="D197" s="1" t="n"/>
      <c r="E197" s="1" t="n"/>
      <c r="F197" s="4" t="n"/>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22">
      <c r="A198" s="1" t="n"/>
      <c r="B198" s="1" t="n"/>
      <c r="C198" s="1" t="n"/>
      <c r="D198" s="1" t="n"/>
      <c r="E198" s="1" t="n"/>
      <c r="F198" s="4" t="n"/>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22">
      <c r="A199" s="1" t="n"/>
      <c r="B199" s="1" t="n"/>
      <c r="C199" s="1" t="n"/>
      <c r="D199" s="1" t="n"/>
      <c r="E199" s="1" t="n"/>
      <c r="F199" s="4" t="n"/>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22">
      <c r="A200" s="1" t="n"/>
      <c r="B200" s="1" t="n"/>
      <c r="C200" s="1" t="n"/>
      <c r="D200" s="1" t="n"/>
      <c r="E200" s="1" t="n"/>
      <c r="F200" s="4" t="n"/>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22">
      <c r="A201" s="1" t="n"/>
      <c r="B201" s="1" t="n"/>
      <c r="C201" s="1" t="n"/>
      <c r="D201" s="1" t="n"/>
      <c r="E201" s="1" t="n"/>
      <c r="F201" s="4" t="n"/>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22">
      <c r="A202" s="1" t="n"/>
      <c r="B202" s="1" t="n"/>
      <c r="C202" s="1" t="n"/>
      <c r="D202" s="1" t="n"/>
      <c r="E202" s="1" t="n"/>
      <c r="F202" s="4" t="n"/>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22">
      <c r="A203" s="1" t="n"/>
      <c r="B203" s="1" t="n"/>
      <c r="C203" s="1" t="n"/>
      <c r="D203" s="1" t="n"/>
      <c r="E203" s="1" t="n"/>
      <c r="F203" s="4" t="n"/>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22">
      <c r="A204" s="1" t="n"/>
      <c r="B204" s="1" t="n"/>
      <c r="C204" s="1" t="n"/>
      <c r="D204" s="1" t="n"/>
      <c r="E204" s="1" t="n"/>
      <c r="F204" s="4" t="n"/>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22">
      <c r="A205" s="1" t="n"/>
      <c r="B205" s="1" t="n"/>
      <c r="C205" s="1" t="n"/>
      <c r="D205" s="1" t="n"/>
      <c r="E205" s="1" t="n"/>
      <c r="F205" s="4" t="n"/>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22">
      <c r="A206" s="1" t="n"/>
      <c r="B206" s="1" t="n"/>
      <c r="C206" s="1" t="n"/>
      <c r="D206" s="1" t="n"/>
      <c r="E206" s="1" t="n"/>
      <c r="F206" s="4" t="n"/>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22">
      <c r="A207" s="1" t="n"/>
      <c r="B207" s="1" t="n"/>
      <c r="C207" s="1" t="n"/>
      <c r="D207" s="1" t="n"/>
      <c r="E207" s="1" t="n"/>
      <c r="F207" s="4" t="n"/>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22">
      <c r="A208" s="1" t="n"/>
      <c r="B208" s="1" t="n"/>
      <c r="C208" s="1" t="n"/>
      <c r="D208" s="1" t="n"/>
      <c r="E208" s="1" t="n"/>
      <c r="F208" s="4" t="n"/>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22">
      <c r="A209" s="1" t="n"/>
      <c r="B209" s="1" t="n"/>
      <c r="C209" s="1" t="n"/>
      <c r="D209" s="1" t="n"/>
      <c r="E209" s="1" t="n"/>
      <c r="F209" s="4" t="n"/>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22">
      <c r="A210" s="1" t="n"/>
      <c r="B210" s="1" t="n"/>
      <c r="C210" s="1" t="n"/>
      <c r="D210" s="1" t="n"/>
      <c r="E210" s="1" t="n"/>
      <c r="F210" s="4" t="n"/>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22">
      <c r="A211" s="1" t="n"/>
      <c r="B211" s="1" t="n"/>
      <c r="C211" s="1" t="n"/>
      <c r="D211" s="1" t="n"/>
      <c r="E211" s="1" t="n"/>
      <c r="F211" s="4" t="n"/>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22">
      <c r="A212" s="1" t="n"/>
      <c r="B212" s="1" t="n"/>
      <c r="C212" s="1" t="n"/>
      <c r="D212" s="1" t="n"/>
      <c r="E212" s="1" t="n"/>
      <c r="F212" s="4" t="n"/>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22">
      <c r="A213" s="1" t="n"/>
      <c r="B213" s="1" t="n"/>
      <c r="C213" s="1" t="n"/>
      <c r="D213" s="1" t="n"/>
      <c r="E213" s="1" t="n"/>
      <c r="F213" s="4" t="n"/>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22">
      <c r="A214" s="1" t="n"/>
      <c r="B214" s="1" t="n"/>
      <c r="C214" s="1" t="n"/>
      <c r="D214" s="1" t="n"/>
      <c r="E214" s="1" t="n"/>
      <c r="F214" s="4" t="n"/>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22">
      <c r="A215" s="1" t="n"/>
      <c r="B215" s="1" t="n"/>
      <c r="C215" s="1" t="n"/>
      <c r="D215" s="1" t="n"/>
      <c r="E215" s="1" t="n"/>
      <c r="F215" s="4" t="n"/>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22">
      <c r="A216" s="1" t="n"/>
      <c r="B216" s="1" t="n"/>
      <c r="C216" s="1" t="n"/>
      <c r="D216" s="1" t="n"/>
      <c r="E216" s="1" t="n"/>
      <c r="F216" s="4" t="n"/>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22">
      <c r="A217" s="1" t="n"/>
      <c r="B217" s="1" t="n"/>
      <c r="C217" s="1" t="n"/>
      <c r="D217" s="1" t="n"/>
      <c r="E217" s="1" t="n"/>
      <c r="F217" s="4" t="n"/>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22">
      <c r="A218" s="1" t="n"/>
      <c r="B218" s="1" t="n"/>
      <c r="C218" s="1" t="n"/>
      <c r="D218" s="1" t="n"/>
      <c r="E218" s="1" t="n"/>
      <c r="F218" s="4" t="n"/>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22">
      <c r="A219" s="1" t="n"/>
      <c r="B219" s="1" t="n"/>
      <c r="C219" s="1" t="n"/>
      <c r="D219" s="1" t="n"/>
      <c r="E219" s="1" t="n"/>
      <c r="F219" s="4" t="n"/>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22">
      <c r="A220" s="1" t="n"/>
      <c r="B220" s="1" t="n"/>
      <c r="C220" s="1" t="n"/>
      <c r="D220" s="1" t="n"/>
      <c r="E220" s="1" t="n"/>
      <c r="F220" s="4" t="n"/>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22">
      <c r="A221" s="1" t="n"/>
      <c r="B221" s="1" t="n"/>
      <c r="C221" s="1" t="n"/>
      <c r="D221" s="1" t="n"/>
      <c r="E221" s="1" t="n"/>
      <c r="F221" s="4" t="n"/>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22">
      <c r="A222" s="1" t="n"/>
      <c r="B222" s="1" t="n"/>
      <c r="C222" s="1" t="n"/>
      <c r="D222" s="1" t="n"/>
      <c r="E222" s="1" t="n"/>
      <c r="F222" s="4" t="n"/>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22">
      <c r="A223" s="1" t="n"/>
      <c r="B223" s="1" t="n"/>
      <c r="C223" s="1" t="n"/>
      <c r="D223" s="1" t="n"/>
      <c r="E223" s="1" t="n"/>
      <c r="F223" s="4" t="n"/>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22">
      <c r="A224" s="1" t="n"/>
      <c r="B224" s="1" t="n"/>
      <c r="C224" s="1" t="n"/>
      <c r="D224" s="1" t="n"/>
      <c r="E224" s="1" t="n"/>
      <c r="F224" s="4" t="n"/>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22">
      <c r="A225" s="1" t="n"/>
      <c r="B225" s="1" t="n"/>
      <c r="C225" s="1" t="n"/>
      <c r="D225" s="1" t="n"/>
      <c r="E225" s="1" t="n"/>
      <c r="F225" s="4" t="n"/>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22">
      <c r="A226" s="1" t="n"/>
      <c r="B226" s="1" t="n"/>
      <c r="C226" s="1" t="n"/>
      <c r="D226" s="1" t="n"/>
      <c r="E226" s="1"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22">
      <c r="A227" s="1" t="n"/>
      <c r="B227" s="1" t="n"/>
      <c r="C227" s="1" t="n"/>
      <c r="D227" s="1" t="n"/>
      <c r="E227" s="1" t="n"/>
      <c r="F227" s="4" t="n"/>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22">
      <c r="A228" s="4" t="n"/>
      <c r="B228" s="4" t="n"/>
      <c r="C228" s="4" t="n"/>
      <c r="D228" s="4" t="n"/>
      <c r="E228" s="4" t="n"/>
      <c r="F228" s="4" t="n"/>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22">
      <c r="A229" s="4" t="n"/>
      <c r="B229" s="4" t="n"/>
      <c r="C229" s="4" t="n"/>
      <c r="D229" s="4" t="n"/>
      <c r="E229" s="4"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22">
      <c r="A230" s="4" t="n"/>
      <c r="B230" s="4" t="n"/>
      <c r="C230" s="4" t="n"/>
      <c r="D230" s="4" t="n"/>
      <c r="E230" s="4"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22">
      <c r="A231" s="4" t="n"/>
      <c r="B231" s="4" t="n"/>
      <c r="C231" s="4" t="n"/>
      <c r="D231" s="4" t="n"/>
      <c r="E231" s="4"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22">
      <c r="A232" s="4" t="n"/>
      <c r="B232" s="4" t="n"/>
      <c r="C232" s="4" t="n"/>
      <c r="D232" s="4" t="n"/>
      <c r="E232" s="4"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22">
      <c r="A233" s="4" t="n"/>
      <c r="B233" s="4" t="n"/>
      <c r="C233" s="4" t="n"/>
      <c r="D233" s="4" t="n"/>
      <c r="E233" s="4"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22">
      <c r="A234" s="4" t="n"/>
      <c r="B234" s="4" t="n"/>
      <c r="C234" s="4" t="n"/>
      <c r="D234" s="4" t="n"/>
      <c r="E234" s="4" t="n"/>
      <c r="F234" s="4" t="n"/>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22">
      <c r="A235" s="4" t="n"/>
      <c r="B235" s="4" t="n"/>
      <c r="C235" s="4" t="n"/>
      <c r="D235" s="4" t="n"/>
      <c r="E235" s="4" t="n"/>
      <c r="F235" s="4" t="n"/>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22">
      <c r="A236" s="4" t="n"/>
      <c r="B236" s="4" t="n"/>
      <c r="C236" s="4" t="n"/>
      <c r="D236" s="4" t="n"/>
      <c r="E236" s="4" t="n"/>
      <c r="F236" s="4" t="n"/>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22">
      <c r="A237" s="4" t="n"/>
      <c r="B237" s="4" t="n"/>
      <c r="C237" s="4" t="n"/>
      <c r="D237" s="4" t="n"/>
      <c r="E237" s="4" t="n"/>
      <c r="F237" s="4" t="n"/>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22">
      <c r="A238" s="4" t="n"/>
      <c r="B238" s="4" t="n"/>
      <c r="C238" s="4" t="n"/>
      <c r="D238" s="4" t="n"/>
      <c r="E238" s="4" t="n"/>
      <c r="F238" s="4" t="n"/>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22">
      <c r="A239" s="4" t="n"/>
      <c r="B239" s="4" t="n"/>
      <c r="C239" s="4" t="n"/>
      <c r="D239" s="4" t="n"/>
      <c r="E239" s="4" t="n"/>
      <c r="F239" s="4" t="n"/>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22">
      <c r="A240" s="4" t="n"/>
      <c r="B240" s="4" t="n"/>
      <c r="C240" s="4" t="n"/>
      <c r="D240" s="4" t="n"/>
      <c r="E240" s="4" t="n"/>
      <c r="F240" s="4" t="n"/>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22">
      <c r="A241" s="4" t="n"/>
      <c r="B241" s="4" t="n"/>
      <c r="C241" s="4" t="n"/>
      <c r="D241" s="4" t="n"/>
      <c r="E241" s="4" t="n"/>
      <c r="F241" s="4" t="n"/>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22">
      <c r="A242" s="4" t="n"/>
      <c r="B242" s="4" t="n"/>
      <c r="C242" s="4" t="n"/>
      <c r="D242" s="4" t="n"/>
      <c r="E242" s="4" t="n"/>
      <c r="F242" s="4" t="n"/>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22">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22">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22">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22">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22">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22">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22">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22">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22">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22">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22">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22">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22">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22">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22">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22">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22">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22">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22">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22">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22">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22">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22">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22">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22">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22">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22">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22">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22">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22">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22">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22">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22">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22">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22">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22">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22">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22">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22">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22">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22">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22">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22">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22">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22">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22">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22">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22">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22">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22">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22">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22">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22">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22">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22">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22">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22">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22">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22">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22">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22">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22">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22">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22">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22">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22">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22">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22">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22">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22">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22">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22">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22">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22">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22">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22">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22">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22">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22">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22">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22">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22">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22">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22">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22">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22">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22">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22">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22">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22">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22">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22">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22">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22">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22">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22">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22">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22">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22">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22">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22">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22">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22">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22">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22">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22">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22">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22">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22">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22">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22">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22">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22">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22">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22">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22">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22">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22">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22">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22">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22">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22">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22">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22">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22">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22">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22">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22">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22">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22">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22">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22">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22">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22">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22">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22">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22">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22">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22">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22">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22">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22">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22">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22">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22">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22">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22">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22">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22">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22">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22">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22">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22">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22">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22">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22">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22">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22">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22">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22">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22">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22">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22">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22">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22">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22">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22">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22">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22">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22">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22">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22">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22">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22">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22">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22">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22">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22">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22">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22">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22">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22">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22">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22">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22">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22">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22">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22">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22">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22">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22">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22">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22">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22">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22">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22">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22">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22">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22">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22">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22">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22">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22">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22">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22">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22">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22">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22">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22">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22">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22">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22">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22">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22">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22">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22">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22">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22">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22">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22">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22">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22">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22">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22">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22">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22">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22">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22">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22">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22">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22">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22">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22">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22">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22">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22">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22">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22">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22">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22">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22">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22">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22">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22">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22">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22">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22">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22">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22">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22">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22">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22">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22">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22">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22">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22">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22">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22">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22">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22">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22">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22">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22">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22">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22">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22">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22">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22">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22">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22">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22">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22">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22">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22">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22">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22">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22">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22">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22">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22">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22">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22">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22">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22">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22">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22">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22">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22">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22">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22">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22">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22">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22">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22">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22">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22">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22">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22">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22">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22">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22">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22">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22">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22">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22">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22">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22">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22">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22">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22">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22">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22">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22">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22">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22">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22">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22">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22">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22">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22">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22">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22">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22">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22">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22">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22">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22">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22">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22">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22">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22">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22">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22">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22">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22">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22">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22">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22">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22">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22">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22">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22">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22">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22">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22">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22">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22">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22">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22">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22">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22">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22">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22">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22">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22">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22">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22">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22">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22">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22">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22">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22">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22">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22">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22">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22">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22">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22">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22">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22">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22">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22">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22">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22">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22">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22">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22">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22">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22">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22">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22">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22">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22">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22">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22">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22">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22">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22">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22">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22">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22">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22">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22">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22">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22">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22">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22">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22">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22">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22">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22">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22">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22">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22">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22">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22">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22">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22">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22">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22">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22">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22">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22">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22">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22">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22">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22">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22">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22">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22">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22">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22">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22">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22">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22">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22">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22">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22">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22">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22">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22">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22">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22">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22">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22">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22">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22">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22">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22">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22">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22">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22">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22">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22">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22">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22">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22">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22">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22">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22">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22">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22">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22">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22">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22">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22">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22">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22">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22">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22">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22">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22">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22">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22">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22">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22">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22">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22">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22">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22">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22">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22">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22">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22">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22">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22">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22">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22">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22">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22">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22">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22">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22">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22">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22">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22">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22">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22">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22">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22">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22">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22">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22">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22">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22">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22">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22">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22">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22">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22">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22">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22">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22">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22">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22">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22">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22">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22">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22">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22">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22">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22">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22">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22">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22">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22">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22">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22">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22">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22">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22">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22">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22">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22">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22">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22">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22">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22">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22">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22">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22">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22">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22">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22">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22">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22">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22">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22">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22">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22">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22">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22">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22">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22">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22">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22">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22">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22">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22">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22">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22">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22">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22">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22">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22">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22">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22">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22">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22">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22">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22">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22">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22">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22">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22">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22">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22">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22">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22">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22">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22">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22">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22">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22">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22">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22">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22">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22">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22">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22">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22">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22">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22">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22">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22">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22">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22">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22">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22">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22">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22">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22">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22">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22">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22">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22">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22">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22">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22">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22">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22">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22">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22">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22">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22">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22">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22">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22">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22">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22">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22">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22">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22">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22">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22">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22">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22">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22">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22">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22">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22">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22">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22">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22">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22">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22">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22">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22">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22">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22">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22">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22">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22">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22">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22">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22">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22">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22">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22">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22">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22">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22">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22">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22">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22">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22">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22">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22">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22">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22">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22">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22">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22">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22">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22">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22">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22">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22">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22">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22">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22">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22">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22">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22">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22">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22">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22">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22">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22">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22">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22">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22">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22">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22">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22">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22">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22">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22">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22">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22">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22">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22">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22">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22">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22">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22">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22">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22">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22">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22">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22">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22">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22">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22">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22">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22">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22">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22">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22">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22">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22">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22">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22">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22">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22">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22">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22">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22">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22">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22">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22">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22">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22">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22">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22">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22">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22">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22">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22">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22">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22">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22">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22">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22">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22">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22">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22">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22">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22">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22">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22">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22">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22">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22">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22">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22">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22">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22">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22">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22">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22">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22">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22">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22">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22">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22">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22">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22">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22">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22">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22">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22">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22">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22">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22">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22">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22">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22">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sheetData>
  <mergeCells count="7">
    <mergeCell ref="B26:E26"/>
    <mergeCell ref="B9:E9"/>
    <mergeCell ref="B27:E27"/>
    <mergeCell ref="B8:E8"/>
    <mergeCell ref="B6:E6"/>
    <mergeCell ref="B7:E7"/>
    <mergeCell ref="B5:E5"/>
  </mergeCells>
  <pageMargins left="0.75" right="0.75" top="1" bottom="1" header="0" footer="0"/>
  <pageSetup orientation="landscape" paperSize="9" fitToHeight="0"/>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Z1000"/>
  <sheetViews>
    <sheetView workbookViewId="0">
      <pane ySplit="4" topLeftCell="A5" activePane="bottomLeft" state="frozen"/>
      <selection pane="bottomLeft" activeCell="B6" sqref="B6"/>
    </sheetView>
  </sheetViews>
  <sheetFormatPr baseColWidth="8" defaultColWidth="14.43" defaultRowHeight="15" customHeight="1"/>
  <cols>
    <col width="10" customWidth="1" style="22" min="1" max="1"/>
    <col width="52" customWidth="1" style="22" min="2" max="2"/>
    <col width="12" customWidth="1" style="22" min="3" max="3"/>
    <col width="22" customWidth="1" style="22" min="4" max="4"/>
    <col width="13" customWidth="1" style="22" min="5" max="5"/>
    <col width="8.710000000000001" customWidth="1" style="22" min="6" max="7"/>
  </cols>
  <sheetData>
    <row r="1" ht="24" customHeight="1" s="22">
      <c r="A1" s="1" t="n"/>
      <c r="B1" s="1" t="n"/>
      <c r="C1" s="2" t="inlineStr">
        <is>
          <t>Plan de la iteración 3</t>
        </is>
      </c>
      <c r="D1" s="3" t="n"/>
      <c r="E1" s="3" t="n"/>
      <c r="F1" s="3" t="n"/>
      <c r="G1" s="3" t="n"/>
      <c r="H1" s="4" t="n"/>
      <c r="I1" s="4" t="n"/>
      <c r="J1" s="4" t="n"/>
      <c r="K1" s="4" t="n"/>
      <c r="L1" s="4" t="n"/>
      <c r="M1" s="4" t="n"/>
      <c r="N1" s="4" t="n"/>
      <c r="O1" s="4" t="n"/>
      <c r="P1" s="4" t="n"/>
      <c r="Q1" s="4" t="n"/>
      <c r="R1" s="4" t="n"/>
      <c r="S1" s="4" t="n"/>
      <c r="T1" s="4" t="n"/>
      <c r="U1" s="4" t="n"/>
      <c r="V1" s="4" t="n"/>
      <c r="W1" s="4" t="n"/>
      <c r="X1" s="4" t="n"/>
      <c r="Y1" s="4" t="n"/>
      <c r="Z1" s="4" t="n"/>
    </row>
    <row r="2" ht="15" customHeight="1" s="22">
      <c r="A2" s="1" t="n"/>
      <c r="B2" s="1" t="n"/>
      <c r="C2" s="5" t="inlineStr">
        <is>
          <t>App móvil Aprueba - Módulo de Preguntas · Grupo 9 · PTY4614 Capstone, sección 002D</t>
        </is>
      </c>
      <c r="D2" s="3" t="n"/>
      <c r="E2" s="3" t="n"/>
      <c r="F2" s="3" t="n"/>
      <c r="G2" s="3" t="n"/>
      <c r="H2" s="4" t="n"/>
      <c r="I2" s="4" t="n"/>
      <c r="J2" s="4" t="n"/>
      <c r="K2" s="4" t="n"/>
      <c r="L2" s="4" t="n"/>
      <c r="M2" s="4" t="n"/>
      <c r="N2" s="4" t="n"/>
      <c r="O2" s="4" t="n"/>
      <c r="P2" s="4" t="n"/>
      <c r="Q2" s="4" t="n"/>
      <c r="R2" s="4" t="n"/>
      <c r="S2" s="4" t="n"/>
      <c r="T2" s="4" t="n"/>
      <c r="U2" s="4" t="n"/>
      <c r="V2" s="4" t="n"/>
      <c r="W2" s="4" t="n"/>
      <c r="X2" s="4" t="n"/>
      <c r="Y2" s="4" t="n"/>
      <c r="Z2" s="4" t="n"/>
    </row>
    <row r="3" ht="15" customHeight="1" s="22">
      <c r="A3" s="1" t="n"/>
      <c r="B3" s="1" t="n"/>
      <c r="C3" s="5" t="inlineStr">
        <is>
          <t>Metodología: Extreme Programming · Versión 1.8 · 18 de octubre de 2026</t>
        </is>
      </c>
      <c r="D3" s="3" t="n"/>
      <c r="E3" s="3" t="n"/>
      <c r="F3" s="3" t="n"/>
      <c r="G3" s="3" t="n"/>
      <c r="H3" s="4" t="n"/>
      <c r="I3" s="4" t="n"/>
      <c r="J3" s="4" t="n"/>
      <c r="K3" s="4" t="n"/>
      <c r="L3" s="4" t="n"/>
      <c r="M3" s="4" t="n"/>
      <c r="N3" s="4" t="n"/>
      <c r="O3" s="4" t="n"/>
      <c r="P3" s="4" t="n"/>
      <c r="Q3" s="4" t="n"/>
      <c r="R3" s="4" t="n"/>
      <c r="S3" s="4" t="n"/>
      <c r="T3" s="4" t="n"/>
      <c r="U3" s="4" t="n"/>
      <c r="V3" s="4" t="n"/>
      <c r="W3" s="4" t="n"/>
      <c r="X3" s="4" t="n"/>
      <c r="Y3" s="4" t="n"/>
      <c r="Z3" s="4" t="n"/>
    </row>
    <row r="4" ht="15" customHeight="1" s="22">
      <c r="A4" s="1" t="n"/>
      <c r="B4" s="1" t="n"/>
      <c r="C4" s="7" t="n"/>
      <c r="D4" s="1" t="n"/>
      <c r="E4" s="1" t="n"/>
      <c r="F4" s="4" t="n"/>
      <c r="G4" s="4" t="n"/>
      <c r="H4" s="4" t="n"/>
      <c r="I4" s="4" t="n"/>
      <c r="J4" s="4" t="n"/>
      <c r="K4" s="4" t="n"/>
      <c r="L4" s="4" t="n"/>
      <c r="M4" s="4" t="n"/>
      <c r="N4" s="4" t="n"/>
      <c r="O4" s="4" t="n"/>
      <c r="P4" s="4" t="n"/>
      <c r="Q4" s="4" t="n"/>
      <c r="R4" s="4" t="n"/>
      <c r="S4" s="4" t="n"/>
      <c r="T4" s="4" t="n"/>
      <c r="U4" s="4" t="n"/>
      <c r="V4" s="4" t="n"/>
      <c r="W4" s="4" t="n"/>
      <c r="X4" s="4" t="n"/>
      <c r="Y4" s="4" t="n"/>
      <c r="Z4" s="4" t="n"/>
    </row>
    <row r="5" ht="15" customHeight="1" s="22">
      <c r="A5" s="9" t="inlineStr">
        <is>
          <t>Semana</t>
        </is>
      </c>
      <c r="B5" s="12" t="inlineStr">
        <is>
          <t>Semana 7</t>
        </is>
      </c>
      <c r="C5" s="23" t="n"/>
      <c r="D5" s="23" t="n"/>
      <c r="E5" s="24" t="n"/>
      <c r="F5" s="4" t="n"/>
      <c r="G5" s="4" t="n"/>
      <c r="H5" s="4" t="n"/>
      <c r="I5" s="4" t="n"/>
      <c r="J5" s="4" t="n"/>
      <c r="K5" s="4" t="n"/>
      <c r="L5" s="4" t="n"/>
      <c r="M5" s="4" t="n"/>
      <c r="N5" s="4" t="n"/>
      <c r="O5" s="4" t="n"/>
      <c r="P5" s="4" t="n"/>
      <c r="Q5" s="4" t="n"/>
      <c r="R5" s="4" t="n"/>
      <c r="S5" s="4" t="n"/>
      <c r="T5" s="4" t="n"/>
      <c r="U5" s="4" t="n"/>
      <c r="V5" s="4" t="n"/>
      <c r="W5" s="4" t="n"/>
      <c r="X5" s="4" t="n"/>
      <c r="Y5" s="4" t="n"/>
      <c r="Z5" s="4" t="n"/>
    </row>
    <row r="6" ht="15" customHeight="1" s="22">
      <c r="A6" s="9" t="inlineStr">
        <is>
          <t>Fechas</t>
        </is>
      </c>
      <c r="B6" s="12" t="inlineStr">
        <is>
          <t>21/09 al 26/09/2026</t>
        </is>
      </c>
      <c r="C6" s="23" t="n"/>
      <c r="D6" s="23" t="n"/>
      <c r="E6" s="24" t="n"/>
      <c r="F6" s="4" t="n"/>
      <c r="G6" s="4" t="n"/>
      <c r="H6" s="4" t="n"/>
      <c r="I6" s="4" t="n"/>
      <c r="J6" s="4" t="n"/>
      <c r="K6" s="4" t="n"/>
      <c r="L6" s="4" t="n"/>
      <c r="M6" s="4" t="n"/>
      <c r="N6" s="4" t="n"/>
      <c r="O6" s="4" t="n"/>
      <c r="P6" s="4" t="n"/>
      <c r="Q6" s="4" t="n"/>
      <c r="R6" s="4" t="n"/>
      <c r="S6" s="4" t="n"/>
      <c r="T6" s="4" t="n"/>
      <c r="U6" s="4" t="n"/>
      <c r="V6" s="4" t="n"/>
      <c r="W6" s="4" t="n"/>
      <c r="X6" s="4" t="n"/>
      <c r="Y6" s="4" t="n"/>
      <c r="Z6" s="4" t="n"/>
    </row>
    <row r="7" ht="23.25" customHeight="1" s="22">
      <c r="A7" s="9" t="inlineStr">
        <is>
          <t>Entrega funcional</t>
        </is>
      </c>
      <c r="B7" s="12" t="inlineStr">
        <is>
          <t>Entrega 1</t>
        </is>
      </c>
      <c r="C7" s="23" t="n"/>
      <c r="D7" s="23" t="n"/>
      <c r="E7" s="24" t="n"/>
      <c r="F7" s="4" t="n"/>
      <c r="G7" s="4" t="n"/>
      <c r="H7" s="4" t="n"/>
      <c r="I7" s="4" t="n"/>
      <c r="J7" s="4" t="n"/>
      <c r="K7" s="4" t="n"/>
      <c r="L7" s="4" t="n"/>
      <c r="M7" s="4" t="n"/>
      <c r="N7" s="4" t="n"/>
      <c r="O7" s="4" t="n"/>
      <c r="P7" s="4" t="n"/>
      <c r="Q7" s="4" t="n"/>
      <c r="R7" s="4" t="n"/>
      <c r="S7" s="4" t="n"/>
      <c r="T7" s="4" t="n"/>
      <c r="U7" s="4" t="n"/>
      <c r="V7" s="4" t="n"/>
      <c r="W7" s="4" t="n"/>
      <c r="X7" s="4" t="n"/>
      <c r="Y7" s="4" t="n"/>
      <c r="Z7" s="4" t="n"/>
    </row>
    <row r="8" ht="15" customHeight="1" s="22">
      <c r="A8" s="9" t="inlineStr">
        <is>
          <t>Estado</t>
        </is>
      </c>
      <c r="B8" s="12" t="inlineStr">
        <is>
          <t>Cerrada</t>
        </is>
      </c>
      <c r="C8" s="23" t="n"/>
      <c r="D8" s="23" t="n"/>
      <c r="E8" s="24" t="n"/>
      <c r="F8" s="4" t="n"/>
      <c r="G8" s="4" t="n"/>
      <c r="H8" s="4" t="n"/>
      <c r="I8" s="4" t="n"/>
      <c r="J8" s="4" t="n"/>
      <c r="K8" s="4" t="n"/>
      <c r="L8" s="4" t="n"/>
      <c r="M8" s="4" t="n"/>
      <c r="N8" s="4" t="n"/>
      <c r="O8" s="4" t="n"/>
      <c r="P8" s="4" t="n"/>
      <c r="Q8" s="4" t="n"/>
      <c r="R8" s="4" t="n"/>
      <c r="S8" s="4" t="n"/>
      <c r="T8" s="4" t="n"/>
      <c r="U8" s="4" t="n"/>
      <c r="V8" s="4" t="n"/>
      <c r="W8" s="4" t="n"/>
      <c r="X8" s="4" t="n"/>
      <c r="Y8" s="4" t="n"/>
      <c r="Z8" s="4" t="n"/>
    </row>
    <row r="9" ht="30" customHeight="1" s="22">
      <c r="A9" s="9" t="inlineStr">
        <is>
          <t>Objetivo</t>
        </is>
      </c>
      <c r="B9" s="12" t="inlineStr">
        <is>
          <t>Permitir que el estudiante inicie sesión, configure su práctica y reciba una pregunta.</t>
        </is>
      </c>
      <c r="C9" s="23" t="n"/>
      <c r="D9" s="23" t="n"/>
      <c r="E9" s="24" t="n"/>
      <c r="F9" s="4" t="n"/>
      <c r="G9" s="4" t="n"/>
      <c r="H9" s="4" t="n"/>
      <c r="I9" s="4" t="n"/>
      <c r="J9" s="4" t="n"/>
      <c r="K9" s="4" t="n"/>
      <c r="L9" s="4" t="n"/>
      <c r="M9" s="4" t="n"/>
      <c r="N9" s="4" t="n"/>
      <c r="O9" s="4" t="n"/>
      <c r="P9" s="4" t="n"/>
      <c r="Q9" s="4" t="n"/>
      <c r="R9" s="4" t="n"/>
      <c r="S9" s="4" t="n"/>
      <c r="T9" s="4" t="n"/>
      <c r="U9" s="4" t="n"/>
      <c r="V9" s="4" t="n"/>
      <c r="W9" s="4" t="n"/>
      <c r="X9" s="4" t="n"/>
      <c r="Y9" s="4" t="n"/>
      <c r="Z9" s="4" t="n"/>
    </row>
    <row r="10">
      <c r="A10" s="1" t="n"/>
      <c r="B10" s="1" t="n"/>
      <c r="C10" s="1" t="n"/>
      <c r="D10" s="1" t="n"/>
      <c r="E10" s="1" t="n"/>
      <c r="F10" s="4" t="n"/>
      <c r="G10" s="4" t="n"/>
      <c r="H10" s="4" t="n"/>
      <c r="I10" s="4" t="n"/>
      <c r="J10" s="4" t="n"/>
      <c r="K10" s="4" t="n"/>
      <c r="L10" s="4" t="n"/>
      <c r="M10" s="4" t="n"/>
      <c r="N10" s="4" t="n"/>
      <c r="O10" s="4" t="n"/>
      <c r="P10" s="4" t="n"/>
      <c r="Q10" s="4" t="n"/>
      <c r="R10" s="4" t="n"/>
      <c r="S10" s="4" t="n"/>
      <c r="T10" s="4" t="n"/>
      <c r="U10" s="4" t="n"/>
      <c r="V10" s="4" t="n"/>
      <c r="W10" s="4" t="n"/>
      <c r="X10" s="4" t="n"/>
      <c r="Y10" s="4" t="n"/>
      <c r="Z10" s="4" t="n"/>
    </row>
    <row r="11" ht="15" customHeight="1" s="22">
      <c r="A11" s="16" t="inlineStr">
        <is>
          <t>Historias comprometidas</t>
        </is>
      </c>
      <c r="B11" s="1" t="n"/>
      <c r="C11" s="1" t="n"/>
      <c r="D11" s="1" t="n"/>
      <c r="E11" s="1" t="n"/>
      <c r="F11" s="4" t="n"/>
      <c r="G11" s="4" t="n"/>
      <c r="H11" s="4" t="n"/>
      <c r="I11" s="4" t="n"/>
      <c r="J11" s="4" t="n"/>
      <c r="K11" s="4" t="n"/>
      <c r="L11" s="4" t="n"/>
      <c r="M11" s="4" t="n"/>
      <c r="N11" s="4" t="n"/>
      <c r="O11" s="4" t="n"/>
      <c r="P11" s="4" t="n"/>
      <c r="Q11" s="4" t="n"/>
      <c r="R11" s="4" t="n"/>
      <c r="S11" s="4" t="n"/>
      <c r="T11" s="4" t="n"/>
      <c r="U11" s="4" t="n"/>
      <c r="V11" s="4" t="n"/>
      <c r="W11" s="4" t="n"/>
      <c r="X11" s="4" t="n"/>
      <c r="Y11" s="4" t="n"/>
      <c r="Z11" s="4" t="n"/>
    </row>
    <row r="12" ht="15" customHeight="1" s="22">
      <c r="A12" s="8" t="inlineStr">
        <is>
          <t>ID</t>
        </is>
      </c>
      <c r="B12" s="8" t="inlineStr">
        <is>
          <t>Historia</t>
        </is>
      </c>
      <c r="C12" s="8" t="inlineStr">
        <is>
          <t>Puntos</t>
        </is>
      </c>
      <c r="D12" s="8" t="inlineStr">
        <is>
          <t>Responsable</t>
        </is>
      </c>
      <c r="E12" s="8" t="inlineStr">
        <is>
          <t>Estado</t>
        </is>
      </c>
      <c r="F12" s="4" t="n"/>
      <c r="G12" s="4" t="n"/>
      <c r="H12" s="4" t="n"/>
      <c r="I12" s="4" t="n"/>
      <c r="J12" s="4" t="n"/>
      <c r="K12" s="4" t="n"/>
      <c r="L12" s="4" t="n"/>
      <c r="M12" s="4" t="n"/>
      <c r="N12" s="4" t="n"/>
      <c r="O12" s="4" t="n"/>
      <c r="P12" s="4" t="n"/>
      <c r="Q12" s="4" t="n"/>
      <c r="R12" s="4" t="n"/>
      <c r="S12" s="4" t="n"/>
      <c r="T12" s="4" t="n"/>
      <c r="U12" s="4" t="n"/>
      <c r="V12" s="4" t="n"/>
      <c r="W12" s="4" t="n"/>
      <c r="X12" s="4" t="n"/>
      <c r="Y12" s="4" t="n"/>
      <c r="Z12" s="4" t="n"/>
    </row>
    <row r="13" ht="15" customHeight="1" s="22">
      <c r="A13" s="15" t="inlineStr">
        <is>
          <t>HT-02</t>
        </is>
      </c>
      <c r="B13" s="12" t="inlineStr">
        <is>
          <t>Backend en FastAPI</t>
        </is>
      </c>
      <c r="C13" s="15" t="n">
        <v>5</v>
      </c>
      <c r="D13" s="12" t="inlineStr">
        <is>
          <t>Jeremías Fernández</t>
        </is>
      </c>
      <c r="E13" s="15" t="inlineStr">
        <is>
          <t>Hecho</t>
        </is>
      </c>
      <c r="F13" s="4" t="n"/>
      <c r="G13" s="4" t="n"/>
      <c r="H13" s="4" t="n"/>
      <c r="I13" s="4" t="n"/>
      <c r="J13" s="4" t="n"/>
      <c r="K13" s="4" t="n"/>
      <c r="L13" s="4" t="n"/>
      <c r="M13" s="4" t="n"/>
      <c r="N13" s="4" t="n"/>
      <c r="O13" s="4" t="n"/>
      <c r="P13" s="4" t="n"/>
      <c r="Q13" s="4" t="n"/>
      <c r="R13" s="4" t="n"/>
      <c r="S13" s="4" t="n"/>
      <c r="T13" s="4" t="n"/>
      <c r="U13" s="4" t="n"/>
      <c r="V13" s="4" t="n"/>
      <c r="W13" s="4" t="n"/>
      <c r="X13" s="4" t="n"/>
      <c r="Y13" s="4" t="n"/>
      <c r="Z13" s="4" t="n"/>
    </row>
    <row r="14" ht="15" customHeight="1" s="22">
      <c r="A14" s="15" t="inlineStr">
        <is>
          <t>HU-21</t>
        </is>
      </c>
      <c r="B14" s="12" t="inlineStr">
        <is>
          <t>Inicio de sesión</t>
        </is>
      </c>
      <c r="C14" s="15" t="n">
        <v>3</v>
      </c>
      <c r="D14" s="12" t="inlineStr">
        <is>
          <t>Jeremías / Sebastián</t>
        </is>
      </c>
      <c r="E14" s="15" t="inlineStr">
        <is>
          <t>Hecho</t>
        </is>
      </c>
      <c r="F14" s="4" t="n"/>
      <c r="G14" s="4" t="n"/>
      <c r="H14" s="4" t="n"/>
      <c r="I14" s="4" t="n"/>
      <c r="J14" s="4" t="n"/>
      <c r="K14" s="4" t="n"/>
      <c r="L14" s="4" t="n"/>
      <c r="M14" s="4" t="n"/>
      <c r="N14" s="4" t="n"/>
      <c r="O14" s="4" t="n"/>
      <c r="P14" s="4" t="n"/>
      <c r="Q14" s="4" t="n"/>
      <c r="R14" s="4" t="n"/>
      <c r="S14" s="4" t="n"/>
      <c r="T14" s="4" t="n"/>
      <c r="U14" s="4" t="n"/>
      <c r="V14" s="4" t="n"/>
      <c r="W14" s="4" t="n"/>
      <c r="X14" s="4" t="n"/>
      <c r="Y14" s="4" t="n"/>
      <c r="Z14" s="4" t="n"/>
    </row>
    <row r="15" ht="15" customHeight="1" s="22">
      <c r="A15" s="15" t="inlineStr">
        <is>
          <t>HT-07</t>
        </is>
      </c>
      <c r="B15" s="12" t="inlineStr">
        <is>
          <t>Alta del alumno y perfil (GET /me) · no planificada</t>
        </is>
      </c>
      <c r="C15" s="15" t="n">
        <v>3</v>
      </c>
      <c r="D15" s="12" t="inlineStr">
        <is>
          <t>Jeremías Fernández</t>
        </is>
      </c>
      <c r="E15" s="15" t="inlineStr">
        <is>
          <t>Hecho</t>
        </is>
      </c>
      <c r="F15" s="4" t="n"/>
      <c r="G15" s="4" t="n"/>
      <c r="H15" s="4" t="n"/>
      <c r="I15" s="4" t="n"/>
      <c r="J15" s="4" t="n"/>
      <c r="K15" s="4" t="n"/>
      <c r="L15" s="4" t="n"/>
      <c r="M15" s="4" t="n"/>
      <c r="N15" s="4" t="n"/>
      <c r="O15" s="4" t="n"/>
      <c r="P15" s="4" t="n"/>
      <c r="Q15" s="4" t="n"/>
      <c r="R15" s="4" t="n"/>
      <c r="S15" s="4" t="n"/>
      <c r="T15" s="4" t="n"/>
      <c r="U15" s="4" t="n"/>
      <c r="V15" s="4" t="n"/>
      <c r="W15" s="4" t="n"/>
      <c r="X15" s="4" t="n"/>
      <c r="Y15" s="4" t="n"/>
      <c r="Z15" s="4" t="n"/>
    </row>
    <row r="16" ht="15" customHeight="1" s="22">
      <c r="A16" s="15" t="inlineStr">
        <is>
          <t>HU-16</t>
        </is>
      </c>
      <c r="B16" s="12" t="inlineStr">
        <is>
          <t>Manejo de sesión</t>
        </is>
      </c>
      <c r="C16" s="15" t="n">
        <v>3</v>
      </c>
      <c r="D16" s="12" t="inlineStr">
        <is>
          <t>Sebastián Acevedo</t>
        </is>
      </c>
      <c r="E16" s="15" t="inlineStr">
        <is>
          <t>Hecho</t>
        </is>
      </c>
      <c r="F16" s="4" t="n"/>
      <c r="G16" s="4" t="n"/>
      <c r="H16" s="4" t="n"/>
      <c r="I16" s="4" t="n"/>
      <c r="J16" s="4" t="n"/>
      <c r="K16" s="4" t="n"/>
      <c r="L16" s="4" t="n"/>
      <c r="M16" s="4" t="n"/>
      <c r="N16" s="4" t="n"/>
      <c r="O16" s="4" t="n"/>
      <c r="P16" s="4" t="n"/>
      <c r="Q16" s="4" t="n"/>
      <c r="R16" s="4" t="n"/>
      <c r="S16" s="4" t="n"/>
      <c r="T16" s="4" t="n"/>
      <c r="U16" s="4" t="n"/>
      <c r="V16" s="4" t="n"/>
      <c r="W16" s="4" t="n"/>
      <c r="X16" s="4" t="n"/>
      <c r="Y16" s="4" t="n"/>
      <c r="Z16" s="4" t="n"/>
    </row>
    <row r="17" ht="15" customHeight="1" s="22">
      <c r="A17" s="15" t="inlineStr">
        <is>
          <t>HU-11</t>
        </is>
      </c>
      <c r="B17" s="12" t="inlineStr">
        <is>
          <t>Selección de pruebas</t>
        </is>
      </c>
      <c r="C17" s="15" t="n">
        <v>2</v>
      </c>
      <c r="D17" s="12" t="inlineStr">
        <is>
          <t>Jeremías Fernández</t>
        </is>
      </c>
      <c r="E17" s="15" t="inlineStr">
        <is>
          <t>Hecho</t>
        </is>
      </c>
      <c r="F17" s="4" t="n"/>
      <c r="G17" s="4" t="n"/>
      <c r="H17" s="4" t="n"/>
      <c r="I17" s="4" t="n"/>
      <c r="J17" s="4" t="n"/>
      <c r="K17" s="4" t="n"/>
      <c r="L17" s="4" t="n"/>
      <c r="M17" s="4" t="n"/>
      <c r="N17" s="4" t="n"/>
      <c r="O17" s="4" t="n"/>
      <c r="P17" s="4" t="n"/>
      <c r="Q17" s="4" t="n"/>
      <c r="R17" s="4" t="n"/>
      <c r="S17" s="4" t="n"/>
      <c r="T17" s="4" t="n"/>
      <c r="U17" s="4" t="n"/>
      <c r="V17" s="4" t="n"/>
      <c r="W17" s="4" t="n"/>
      <c r="X17" s="4" t="n"/>
      <c r="Y17" s="4" t="n"/>
      <c r="Z17" s="4" t="n"/>
    </row>
    <row r="18" ht="15" customHeight="1" s="22">
      <c r="A18" s="15" t="inlineStr">
        <is>
          <t>HU-12</t>
        </is>
      </c>
      <c r="B18" s="12" t="inlineStr">
        <is>
          <t>Formato y dificultad · pasa a la iteración 4</t>
        </is>
      </c>
      <c r="C18" s="15" t="n">
        <v>3</v>
      </c>
      <c r="D18" s="12" t="inlineStr">
        <is>
          <t>Jeremías Fernández</t>
        </is>
      </c>
      <c r="E18" s="15" t="inlineStr">
        <is>
          <t>Parcial</t>
        </is>
      </c>
      <c r="F18" s="4" t="n"/>
      <c r="G18" s="4" t="n"/>
      <c r="H18" s="4" t="n"/>
      <c r="I18" s="4" t="n"/>
      <c r="J18" s="4" t="n"/>
      <c r="K18" s="4" t="n"/>
      <c r="L18" s="4" t="n"/>
      <c r="M18" s="4" t="n"/>
      <c r="N18" s="4" t="n"/>
      <c r="O18" s="4" t="n"/>
      <c r="P18" s="4" t="n"/>
      <c r="Q18" s="4" t="n"/>
      <c r="R18" s="4" t="n"/>
      <c r="S18" s="4" t="n"/>
      <c r="T18" s="4" t="n"/>
      <c r="U18" s="4" t="n"/>
      <c r="V18" s="4" t="n"/>
      <c r="W18" s="4" t="n"/>
      <c r="X18" s="4" t="n"/>
      <c r="Y18" s="4" t="n"/>
      <c r="Z18" s="4" t="n"/>
    </row>
    <row r="19" ht="15" customHeight="1" s="22">
      <c r="A19" s="15" t="inlineStr">
        <is>
          <t>HU-01</t>
        </is>
      </c>
      <c r="B19" s="12" t="inlineStr">
        <is>
          <t>Siguiente pregunta</t>
        </is>
      </c>
      <c r="C19" s="15" t="n">
        <v>5</v>
      </c>
      <c r="D19" s="12" t="inlineStr">
        <is>
          <t>Jeremías Fernández</t>
        </is>
      </c>
      <c r="E19" s="15" t="inlineStr">
        <is>
          <t>Hecho</t>
        </is>
      </c>
      <c r="F19" s="4" t="n"/>
      <c r="G19" s="4" t="n"/>
      <c r="H19" s="4" t="n"/>
      <c r="I19" s="4" t="n"/>
      <c r="J19" s="4" t="n"/>
      <c r="K19" s="4" t="n"/>
      <c r="L19" s="4" t="n"/>
      <c r="M19" s="4" t="n"/>
      <c r="N19" s="4" t="n"/>
      <c r="O19" s="4" t="n"/>
      <c r="P19" s="4" t="n"/>
      <c r="Q19" s="4" t="n"/>
      <c r="R19" s="4" t="n"/>
      <c r="S19" s="4" t="n"/>
      <c r="T19" s="4" t="n"/>
      <c r="U19" s="4" t="n"/>
      <c r="V19" s="4" t="n"/>
      <c r="W19" s="4" t="n"/>
      <c r="X19" s="4" t="n"/>
      <c r="Y19" s="4" t="n"/>
      <c r="Z19" s="4" t="n"/>
    </row>
    <row r="20" ht="15" customHeight="1" s="22">
      <c r="A20" s="15" t="inlineStr">
        <is>
          <t>HU-02</t>
        </is>
      </c>
      <c r="B20" s="12" t="inlineStr">
        <is>
          <t>Pantalla Pregunta</t>
        </is>
      </c>
      <c r="C20" s="15" t="n">
        <v>5</v>
      </c>
      <c r="D20" s="12" t="inlineStr">
        <is>
          <t>Sebastián Acevedo</t>
        </is>
      </c>
      <c r="E20" s="15" t="inlineStr">
        <is>
          <t>Hecho</t>
        </is>
      </c>
      <c r="F20" s="4" t="n"/>
      <c r="G20" s="4" t="n"/>
      <c r="H20" s="4" t="n"/>
      <c r="I20" s="4" t="n"/>
      <c r="J20" s="4" t="n"/>
      <c r="K20" s="4" t="n"/>
      <c r="L20" s="4" t="n"/>
      <c r="M20" s="4" t="n"/>
      <c r="N20" s="4" t="n"/>
      <c r="O20" s="4" t="n"/>
      <c r="P20" s="4" t="n"/>
      <c r="Q20" s="4" t="n"/>
      <c r="R20" s="4" t="n"/>
      <c r="S20" s="4" t="n"/>
      <c r="T20" s="4" t="n"/>
      <c r="U20" s="4" t="n"/>
      <c r="V20" s="4" t="n"/>
      <c r="W20" s="4" t="n"/>
      <c r="X20" s="4" t="n"/>
      <c r="Y20" s="4" t="n"/>
      <c r="Z20" s="4" t="n"/>
    </row>
    <row r="21" ht="15" customHeight="1" s="22">
      <c r="A21" s="1" t="n"/>
      <c r="B21" s="18" t="inlineStr">
        <is>
          <t>Puntos comprometidos</t>
        </is>
      </c>
      <c r="C21" s="21">
        <f>SUMPRODUCT(C13:C20*ISERROR(SEARCH("no planificada",B13:B20)))</f>
        <v/>
      </c>
      <c r="D21" s="1" t="n"/>
      <c r="E21" s="1" t="n"/>
      <c r="F21" s="4" t="n"/>
      <c r="G21" s="4" t="n"/>
      <c r="H21" s="4" t="n"/>
      <c r="I21" s="4" t="n"/>
      <c r="J21" s="4" t="n"/>
      <c r="K21" s="4" t="n"/>
      <c r="L21" s="4" t="n"/>
      <c r="M21" s="4" t="n"/>
      <c r="N21" s="4" t="n"/>
      <c r="O21" s="4" t="n"/>
      <c r="P21" s="4" t="n"/>
      <c r="Q21" s="4" t="n"/>
      <c r="R21" s="4" t="n"/>
      <c r="S21" s="4" t="n"/>
      <c r="T21" s="4" t="n"/>
      <c r="U21" s="4" t="n"/>
      <c r="V21" s="4" t="n"/>
      <c r="W21" s="4" t="n"/>
      <c r="X21" s="4" t="n"/>
      <c r="Y21" s="4" t="n"/>
      <c r="Z21" s="4" t="n"/>
    </row>
    <row r="22" ht="15" customHeight="1" s="22">
      <c r="A22" s="1" t="n"/>
      <c r="B22" s="18" t="inlineStr">
        <is>
          <t>Puntos terminados (velocidad, incluye lo no planificado)</t>
        </is>
      </c>
      <c r="C22" s="21">
        <f>SUMIF(E13:E20,"Hecho",C13:C20)</f>
        <v/>
      </c>
      <c r="D22" s="1" t="n"/>
      <c r="E22" s="1" t="n"/>
      <c r="F22" s="4" t="n"/>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22">
      <c r="A23" s="1" t="n"/>
      <c r="B23" s="1" t="n"/>
      <c r="C23" s="1" t="n"/>
      <c r="D23" s="1" t="n"/>
      <c r="E23" s="1" t="n"/>
      <c r="F23" s="4" t="n"/>
      <c r="G23" s="4" t="n"/>
      <c r="H23" s="4" t="n"/>
      <c r="I23" s="4" t="n"/>
      <c r="J23" s="4" t="n"/>
      <c r="K23" s="4" t="n"/>
      <c r="L23" s="4" t="n"/>
      <c r="M23" s="4" t="n"/>
      <c r="N23" s="4" t="n"/>
      <c r="O23" s="4" t="n"/>
      <c r="P23" s="4" t="n"/>
      <c r="Q23" s="4" t="n"/>
      <c r="R23" s="4" t="n"/>
      <c r="S23" s="4" t="n"/>
      <c r="T23" s="4" t="n"/>
      <c r="U23" s="4" t="n"/>
      <c r="V23" s="4" t="n"/>
      <c r="W23" s="4" t="n"/>
      <c r="X23" s="4" t="n"/>
      <c r="Y23" s="4" t="n"/>
      <c r="Z23" s="4" t="n"/>
    </row>
    <row r="24" ht="15" customHeight="1" s="22">
      <c r="A24" s="16" t="inlineStr">
        <is>
          <t>Tareas</t>
        </is>
      </c>
      <c r="B24" s="1" t="n"/>
      <c r="C24" s="1" t="n"/>
      <c r="D24" s="1" t="n"/>
      <c r="E24" s="1" t="n"/>
      <c r="F24" s="4" t="n"/>
      <c r="G24" s="4" t="n"/>
      <c r="H24" s="4" t="n"/>
      <c r="I24" s="4" t="n"/>
      <c r="J24" s="4" t="n"/>
      <c r="K24" s="4" t="n"/>
      <c r="L24" s="4" t="n"/>
      <c r="M24" s="4" t="n"/>
      <c r="N24" s="4" t="n"/>
      <c r="O24" s="4" t="n"/>
      <c r="P24" s="4" t="n"/>
      <c r="Q24" s="4" t="n"/>
      <c r="R24" s="4" t="n"/>
      <c r="S24" s="4" t="n"/>
      <c r="T24" s="4" t="n"/>
      <c r="U24" s="4" t="n"/>
      <c r="V24" s="4" t="n"/>
      <c r="W24" s="4" t="n"/>
      <c r="X24" s="4" t="n"/>
      <c r="Y24" s="4" t="n"/>
      <c r="Z24" s="4" t="n"/>
    </row>
    <row r="25" ht="15" customHeight="1" s="22">
      <c r="A25" s="8" t="inlineStr">
        <is>
          <t>ID</t>
        </is>
      </c>
      <c r="B25" s="8" t="inlineStr">
        <is>
          <t>Tarea</t>
        </is>
      </c>
      <c r="C25" s="8" t="inlineStr">
        <is>
          <t>Historia</t>
        </is>
      </c>
      <c r="D25" s="8" t="inlineStr">
        <is>
          <t>Responsable</t>
        </is>
      </c>
      <c r="E25" s="8" t="inlineStr">
        <is>
          <t>Estado</t>
        </is>
      </c>
      <c r="F25" s="4" t="n"/>
      <c r="G25" s="4" t="n"/>
      <c r="H25" s="4" t="n"/>
      <c r="I25" s="4" t="n"/>
      <c r="J25" s="4" t="n"/>
      <c r="K25" s="4" t="n"/>
      <c r="L25" s="4" t="n"/>
      <c r="M25" s="4" t="n"/>
      <c r="N25" s="4" t="n"/>
      <c r="O25" s="4" t="n"/>
      <c r="P25" s="4" t="n"/>
      <c r="Q25" s="4" t="n"/>
      <c r="R25" s="4" t="n"/>
      <c r="S25" s="4" t="n"/>
      <c r="T25" s="4" t="n"/>
      <c r="U25" s="4" t="n"/>
      <c r="V25" s="4" t="n"/>
      <c r="W25" s="4" t="n"/>
      <c r="X25" s="4" t="n"/>
      <c r="Y25" s="4" t="n"/>
      <c r="Z25" s="4" t="n"/>
    </row>
    <row r="26" ht="15" customHeight="1" s="22">
      <c r="A26" s="15" t="inlineStr">
        <is>
          <t>T-11</t>
        </is>
      </c>
      <c r="B26" s="12" t="inlineStr">
        <is>
          <t>Migrar la estructura base de Express a FastAPI</t>
        </is>
      </c>
      <c r="C26" s="15" t="inlineStr">
        <is>
          <t>HT-02</t>
        </is>
      </c>
      <c r="D26" s="12" t="inlineStr">
        <is>
          <t>Jeremías Fernández</t>
        </is>
      </c>
      <c r="E26" s="15" t="inlineStr">
        <is>
          <t>Hecho</t>
        </is>
      </c>
      <c r="F26" s="4" t="n"/>
      <c r="G26" s="4" t="n"/>
      <c r="H26" s="4" t="n"/>
      <c r="I26" s="4" t="n"/>
      <c r="J26" s="4" t="n"/>
      <c r="K26" s="4" t="n"/>
      <c r="L26" s="4" t="n"/>
      <c r="M26" s="4" t="n"/>
      <c r="N26" s="4" t="n"/>
      <c r="O26" s="4" t="n"/>
      <c r="P26" s="4" t="n"/>
      <c r="Q26" s="4" t="n"/>
      <c r="R26" s="4" t="n"/>
      <c r="S26" s="4" t="n"/>
      <c r="T26" s="4" t="n"/>
      <c r="U26" s="4" t="n"/>
      <c r="V26" s="4" t="n"/>
      <c r="W26" s="4" t="n"/>
      <c r="X26" s="4" t="n"/>
      <c r="Y26" s="4" t="n"/>
      <c r="Z26" s="4" t="n"/>
    </row>
    <row r="27" ht="15" customHeight="1" s="22">
      <c r="A27" s="15" t="inlineStr">
        <is>
          <t>T-12</t>
        </is>
      </c>
      <c r="B27" s="12" t="inlineStr">
        <is>
          <t>Implementar la estructura de respuesta y el catálogo de errores</t>
        </is>
      </c>
      <c r="C27" s="15" t="inlineStr">
        <is>
          <t>HT-02</t>
        </is>
      </c>
      <c r="D27" s="12" t="inlineStr">
        <is>
          <t>Jeremías Fernández</t>
        </is>
      </c>
      <c r="E27" s="15" t="inlineStr">
        <is>
          <t>Hecho</t>
        </is>
      </c>
      <c r="F27" s="4" t="n"/>
      <c r="G27" s="4" t="n"/>
      <c r="H27" s="4" t="n"/>
      <c r="I27" s="4" t="n"/>
      <c r="J27" s="4" t="n"/>
      <c r="K27" s="4" t="n"/>
      <c r="L27" s="4" t="n"/>
      <c r="M27" s="4" t="n"/>
      <c r="N27" s="4" t="n"/>
      <c r="O27" s="4" t="n"/>
      <c r="P27" s="4" t="n"/>
      <c r="Q27" s="4" t="n"/>
      <c r="R27" s="4" t="n"/>
      <c r="S27" s="4" t="n"/>
      <c r="T27" s="4" t="n"/>
      <c r="U27" s="4" t="n"/>
      <c r="V27" s="4" t="n"/>
      <c r="W27" s="4" t="n"/>
      <c r="X27" s="4" t="n"/>
      <c r="Y27" s="4" t="n"/>
      <c r="Z27" s="4" t="n"/>
    </row>
    <row r="28" ht="15" customHeight="1" s="22">
      <c r="A28" s="15" t="inlineStr">
        <is>
          <t>T-14</t>
        </is>
      </c>
      <c r="B28" s="12" t="inlineStr">
        <is>
          <t>Configurar Firebase Authentication en la aplicación y en la API</t>
        </is>
      </c>
      <c r="C28" s="15" t="inlineStr">
        <is>
          <t>HU-21</t>
        </is>
      </c>
      <c r="D28" s="12" t="inlineStr">
        <is>
          <t>Jeremías Fernández</t>
        </is>
      </c>
      <c r="E28" s="15" t="inlineStr">
        <is>
          <t>Hecho</t>
        </is>
      </c>
      <c r="F28" s="4" t="n"/>
      <c r="G28" s="4" t="n"/>
      <c r="H28" s="4" t="n"/>
      <c r="I28" s="4" t="n"/>
      <c r="J28" s="4" t="n"/>
      <c r="K28" s="4" t="n"/>
      <c r="L28" s="4" t="n"/>
      <c r="M28" s="4" t="n"/>
      <c r="N28" s="4" t="n"/>
      <c r="O28" s="4" t="n"/>
      <c r="P28" s="4" t="n"/>
      <c r="Q28" s="4" t="n"/>
      <c r="R28" s="4" t="n"/>
      <c r="S28" s="4" t="n"/>
      <c r="T28" s="4" t="n"/>
      <c r="U28" s="4" t="n"/>
      <c r="V28" s="4" t="n"/>
      <c r="W28" s="4" t="n"/>
      <c r="X28" s="4" t="n"/>
      <c r="Y28" s="4" t="n"/>
      <c r="Z28" s="4" t="n"/>
    </row>
    <row r="29" ht="15" customHeight="1" s="22">
      <c r="A29" s="15" t="inlineStr">
        <is>
          <t>T-15</t>
        </is>
      </c>
      <c r="B29" s="12" t="inlineStr">
        <is>
          <t>Validar el token de sesión en el backend</t>
        </is>
      </c>
      <c r="C29" s="15" t="inlineStr">
        <is>
          <t>HU-21</t>
        </is>
      </c>
      <c r="D29" s="12" t="inlineStr">
        <is>
          <t>Jeremías Fernández</t>
        </is>
      </c>
      <c r="E29" s="15" t="inlineStr">
        <is>
          <t>Hecho</t>
        </is>
      </c>
      <c r="F29" s="4" t="n"/>
      <c r="G29" s="4" t="n"/>
      <c r="H29" s="4" t="n"/>
      <c r="I29" s="4" t="n"/>
      <c r="J29" s="4" t="n"/>
      <c r="K29" s="4" t="n"/>
      <c r="L29" s="4" t="n"/>
      <c r="M29" s="4" t="n"/>
      <c r="N29" s="4" t="n"/>
      <c r="O29" s="4" t="n"/>
      <c r="P29" s="4" t="n"/>
      <c r="Q29" s="4" t="n"/>
      <c r="R29" s="4" t="n"/>
      <c r="S29" s="4" t="n"/>
      <c r="T29" s="4" t="n"/>
      <c r="U29" s="4" t="n"/>
      <c r="V29" s="4" t="n"/>
      <c r="W29" s="4" t="n"/>
      <c r="X29" s="4" t="n"/>
      <c r="Y29" s="4" t="n"/>
      <c r="Z29" s="4" t="n"/>
    </row>
    <row r="30" ht="23.25" customHeight="1" s="22">
      <c r="A30" s="15" t="inlineStr">
        <is>
          <t>T-23</t>
        </is>
      </c>
      <c r="B30" s="12" t="inlineStr">
        <is>
          <t>Restringir las claves de Firebase por aplicación y dominio</t>
        </is>
      </c>
      <c r="C30" s="15" t="inlineStr">
        <is>
          <t>HU-21</t>
        </is>
      </c>
      <c r="D30" s="12" t="inlineStr">
        <is>
          <t>Jeremías Fernández</t>
        </is>
      </c>
      <c r="E30" s="15" t="inlineStr">
        <is>
          <t>Pasa a la iteración 4</t>
        </is>
      </c>
      <c r="F30" s="4" t="n"/>
      <c r="G30" s="4" t="n"/>
      <c r="H30" s="4" t="n"/>
      <c r="I30" s="4" t="n"/>
      <c r="J30" s="4" t="n"/>
      <c r="K30" s="4" t="n"/>
      <c r="L30" s="4" t="n"/>
      <c r="M30" s="4" t="n"/>
      <c r="N30" s="4" t="n"/>
      <c r="O30" s="4" t="n"/>
      <c r="P30" s="4" t="n"/>
      <c r="Q30" s="4" t="n"/>
      <c r="R30" s="4" t="n"/>
      <c r="S30" s="4" t="n"/>
      <c r="T30" s="4" t="n"/>
      <c r="U30" s="4" t="n"/>
      <c r="V30" s="4" t="n"/>
      <c r="W30" s="4" t="n"/>
      <c r="X30" s="4" t="n"/>
      <c r="Y30" s="4" t="n"/>
      <c r="Z30" s="4" t="n"/>
    </row>
    <row r="31" ht="15" customHeight="1" s="22">
      <c r="A31" s="15" t="inlineStr">
        <is>
          <t>T-16</t>
        </is>
      </c>
      <c r="B31" s="12" t="inlineStr">
        <is>
          <t>Interceptor que adjunta el token y reintenta ante un 401</t>
        </is>
      </c>
      <c r="C31" s="15" t="inlineStr">
        <is>
          <t>HU-16</t>
        </is>
      </c>
      <c r="D31" s="12" t="inlineStr">
        <is>
          <t>Jeremías Fernández</t>
        </is>
      </c>
      <c r="E31" s="15" t="inlineStr">
        <is>
          <t>Hecho</t>
        </is>
      </c>
      <c r="F31" s="4" t="n"/>
      <c r="G31" s="4" t="n"/>
      <c r="H31" s="4" t="n"/>
      <c r="I31" s="4" t="n"/>
      <c r="J31" s="4" t="n"/>
      <c r="K31" s="4" t="n"/>
      <c r="L31" s="4" t="n"/>
      <c r="M31" s="4" t="n"/>
      <c r="N31" s="4" t="n"/>
      <c r="O31" s="4" t="n"/>
      <c r="P31" s="4" t="n"/>
      <c r="Q31" s="4" t="n"/>
      <c r="R31" s="4" t="n"/>
      <c r="S31" s="4" t="n"/>
      <c r="T31" s="4" t="n"/>
      <c r="U31" s="4" t="n"/>
      <c r="V31" s="4" t="n"/>
      <c r="W31" s="4" t="n"/>
      <c r="X31" s="4" t="n"/>
      <c r="Y31" s="4" t="n"/>
      <c r="Z31" s="4" t="n"/>
    </row>
    <row r="32" ht="15" customHeight="1" s="22">
      <c r="A32" s="15" t="inlineStr">
        <is>
          <t>T-17</t>
        </is>
      </c>
      <c r="B32" s="12" t="inlineStr">
        <is>
          <t>Servicio GET /tests</t>
        </is>
      </c>
      <c r="C32" s="15" t="inlineStr">
        <is>
          <t>HU-11</t>
        </is>
      </c>
      <c r="D32" s="12" t="inlineStr">
        <is>
          <t>Jeremías Fernández</t>
        </is>
      </c>
      <c r="E32" s="15" t="inlineStr">
        <is>
          <t>Hecho</t>
        </is>
      </c>
      <c r="F32" s="4" t="n"/>
      <c r="G32" s="4" t="n"/>
      <c r="H32" s="4" t="n"/>
      <c r="I32" s="4" t="n"/>
      <c r="J32" s="4" t="n"/>
      <c r="K32" s="4" t="n"/>
      <c r="L32" s="4" t="n"/>
      <c r="M32" s="4" t="n"/>
      <c r="N32" s="4" t="n"/>
      <c r="O32" s="4" t="n"/>
      <c r="P32" s="4" t="n"/>
      <c r="Q32" s="4" t="n"/>
      <c r="R32" s="4" t="n"/>
      <c r="S32" s="4" t="n"/>
      <c r="T32" s="4" t="n"/>
      <c r="U32" s="4" t="n"/>
      <c r="V32" s="4" t="n"/>
      <c r="W32" s="4" t="n"/>
      <c r="X32" s="4" t="n"/>
      <c r="Y32" s="4" t="n"/>
      <c r="Z32" s="4" t="n"/>
    </row>
    <row r="33" ht="15" customHeight="1" s="22">
      <c r="A33" s="15" t="inlineStr">
        <is>
          <t>T-18</t>
        </is>
      </c>
      <c r="B33" s="12" t="inlineStr">
        <is>
          <t>Servicios GET y PUT /me/preferences</t>
        </is>
      </c>
      <c r="C33" s="15" t="inlineStr">
        <is>
          <t>HU-12</t>
        </is>
      </c>
      <c r="D33" s="12" t="inlineStr">
        <is>
          <t>Jeremías Fernández</t>
        </is>
      </c>
      <c r="E33" s="15" t="inlineStr">
        <is>
          <t>Hecho</t>
        </is>
      </c>
      <c r="F33" s="4" t="n"/>
      <c r="G33" s="4" t="n"/>
      <c r="H33" s="4" t="n"/>
      <c r="I33" s="4" t="n"/>
      <c r="J33" s="4" t="n"/>
      <c r="K33" s="4" t="n"/>
      <c r="L33" s="4" t="n"/>
      <c r="M33" s="4" t="n"/>
      <c r="N33" s="4" t="n"/>
      <c r="O33" s="4" t="n"/>
      <c r="P33" s="4" t="n"/>
      <c r="Q33" s="4" t="n"/>
      <c r="R33" s="4" t="n"/>
      <c r="S33" s="4" t="n"/>
      <c r="T33" s="4" t="n"/>
      <c r="U33" s="4" t="n"/>
      <c r="V33" s="4" t="n"/>
      <c r="W33" s="4" t="n"/>
      <c r="X33" s="4" t="n"/>
      <c r="Y33" s="4" t="n"/>
      <c r="Z33" s="4" t="n"/>
    </row>
    <row r="34" ht="15" customHeight="1" s="22">
      <c r="A34" s="15" t="inlineStr">
        <is>
          <t>T-19</t>
        </is>
      </c>
      <c r="B34" s="12" t="inlineStr">
        <is>
          <t>Servicio GET /practice/next con exclusión de preguntas respondidas</t>
        </is>
      </c>
      <c r="C34" s="15" t="inlineStr">
        <is>
          <t>HU-01</t>
        </is>
      </c>
      <c r="D34" s="12" t="inlineStr">
        <is>
          <t>Jeremías Fernández</t>
        </is>
      </c>
      <c r="E34" s="15" t="inlineStr">
        <is>
          <t>Hecho</t>
        </is>
      </c>
      <c r="F34" s="4" t="n"/>
      <c r="G34" s="4" t="n"/>
      <c r="H34" s="4" t="n"/>
      <c r="I34" s="4" t="n"/>
      <c r="J34" s="4" t="n"/>
      <c r="K34" s="4" t="n"/>
      <c r="L34" s="4" t="n"/>
      <c r="M34" s="4" t="n"/>
      <c r="N34" s="4" t="n"/>
      <c r="O34" s="4" t="n"/>
      <c r="P34" s="4" t="n"/>
      <c r="Q34" s="4" t="n"/>
      <c r="R34" s="4" t="n"/>
      <c r="S34" s="4" t="n"/>
      <c r="T34" s="4" t="n"/>
      <c r="U34" s="4" t="n"/>
      <c r="V34" s="4" t="n"/>
      <c r="W34" s="4" t="n"/>
      <c r="X34" s="4" t="n"/>
      <c r="Y34" s="4" t="n"/>
      <c r="Z34" s="4" t="n"/>
    </row>
    <row r="35" ht="23.25" customHeight="1" s="22">
      <c r="A35" s="15" t="inlineStr">
        <is>
          <t>T-20</t>
        </is>
      </c>
      <c r="B35" s="12" t="inlineStr">
        <is>
          <t>Servicio GET /questions/{id}</t>
        </is>
      </c>
      <c r="C35" s="15" t="inlineStr">
        <is>
          <t>HU-01</t>
        </is>
      </c>
      <c r="D35" s="12" t="inlineStr">
        <is>
          <t>Jeremías Fernández</t>
        </is>
      </c>
      <c r="E35" s="15" t="inlineStr">
        <is>
          <t>Pasa a la iteración 4</t>
        </is>
      </c>
      <c r="F35" s="4" t="n"/>
      <c r="G35" s="4" t="n"/>
      <c r="H35" s="4" t="n"/>
      <c r="I35" s="4" t="n"/>
      <c r="J35" s="4" t="n"/>
      <c r="K35" s="4" t="n"/>
      <c r="L35" s="4" t="n"/>
      <c r="M35" s="4" t="n"/>
      <c r="N35" s="4" t="n"/>
      <c r="O35" s="4" t="n"/>
      <c r="P35" s="4" t="n"/>
      <c r="Q35" s="4" t="n"/>
      <c r="R35" s="4" t="n"/>
      <c r="S35" s="4" t="n"/>
      <c r="T35" s="4" t="n"/>
      <c r="U35" s="4" t="n"/>
      <c r="V35" s="4" t="n"/>
      <c r="W35" s="4" t="n"/>
      <c r="X35" s="4" t="n"/>
      <c r="Y35" s="4" t="n"/>
      <c r="Z35" s="4" t="n"/>
    </row>
    <row r="36" ht="15" customHeight="1" s="22">
      <c r="A36" s="15" t="inlineStr">
        <is>
          <t>T-21</t>
        </is>
      </c>
      <c r="B36" s="12" t="inlineStr">
        <is>
          <t>Construir la pantalla Pregunta integrada con el servicio</t>
        </is>
      </c>
      <c r="C36" s="15" t="inlineStr">
        <is>
          <t>HU-02</t>
        </is>
      </c>
      <c r="D36" s="12" t="inlineStr">
        <is>
          <t>Sebastián Acevedo</t>
        </is>
      </c>
      <c r="E36" s="15" t="inlineStr">
        <is>
          <t>Hecho</t>
        </is>
      </c>
      <c r="F36" s="4" t="n"/>
      <c r="G36" s="4" t="n"/>
      <c r="H36" s="4" t="n"/>
      <c r="I36" s="4" t="n"/>
      <c r="J36" s="4" t="n"/>
      <c r="K36" s="4" t="n"/>
      <c r="L36" s="4" t="n"/>
      <c r="M36" s="4" t="n"/>
      <c r="N36" s="4" t="n"/>
      <c r="O36" s="4" t="n"/>
      <c r="P36" s="4" t="n"/>
      <c r="Q36" s="4" t="n"/>
      <c r="R36" s="4" t="n"/>
      <c r="S36" s="4" t="n"/>
      <c r="T36" s="4" t="n"/>
      <c r="U36" s="4" t="n"/>
      <c r="V36" s="4" t="n"/>
      <c r="W36" s="4" t="n"/>
      <c r="X36" s="4" t="n"/>
      <c r="Y36" s="4" t="n"/>
      <c r="Z36" s="4" t="n"/>
    </row>
    <row r="37" ht="15" customHeight="1" s="22">
      <c r="A37" s="15" t="inlineStr">
        <is>
          <t>T-22</t>
        </is>
      </c>
      <c r="B37" s="12" t="inlineStr">
        <is>
          <t>Traducir los errores de cuota a la pantalla de desbloqueo</t>
        </is>
      </c>
      <c r="C37" s="15" t="inlineStr">
        <is>
          <t>HU-02</t>
        </is>
      </c>
      <c r="D37" s="12" t="inlineStr">
        <is>
          <t>Sebastián Acevedo</t>
        </is>
      </c>
      <c r="E37" s="15" t="inlineStr">
        <is>
          <t>Hecho</t>
        </is>
      </c>
      <c r="F37" s="4" t="n"/>
      <c r="G37" s="4" t="n"/>
      <c r="H37" s="4" t="n"/>
      <c r="I37" s="4" t="n"/>
      <c r="J37" s="4" t="n"/>
      <c r="K37" s="4" t="n"/>
      <c r="L37" s="4" t="n"/>
      <c r="M37" s="4" t="n"/>
      <c r="N37" s="4" t="n"/>
      <c r="O37" s="4" t="n"/>
      <c r="P37" s="4" t="n"/>
      <c r="Q37" s="4" t="n"/>
      <c r="R37" s="4" t="n"/>
      <c r="S37" s="4" t="n"/>
      <c r="T37" s="4" t="n"/>
      <c r="U37" s="4" t="n"/>
      <c r="V37" s="4" t="n"/>
      <c r="W37" s="4" t="n"/>
      <c r="X37" s="4" t="n"/>
      <c r="Y37" s="4" t="n"/>
      <c r="Z37" s="4" t="n"/>
    </row>
    <row r="38" ht="23.25" customHeight="1" s="22">
      <c r="A38" s="15" t="inlineStr">
        <is>
          <t>T-10</t>
        </is>
      </c>
      <c r="B38" s="12" t="inlineStr">
        <is>
          <t>Alinear recorrecciones, usuarios y medallas con la consola de administración</t>
        </is>
      </c>
      <c r="C38" s="15" t="inlineStr">
        <is>
          <t>HU-20</t>
        </is>
      </c>
      <c r="D38" s="12" t="inlineStr">
        <is>
          <t>Jeremías Fernández</t>
        </is>
      </c>
      <c r="E38" s="15" t="inlineStr">
        <is>
          <t>Hecho</t>
        </is>
      </c>
      <c r="F38" s="4" t="n"/>
      <c r="G38" s="4" t="n"/>
      <c r="H38" s="4" t="n"/>
      <c r="I38" s="4" t="n"/>
      <c r="J38" s="4" t="n"/>
      <c r="K38" s="4" t="n"/>
      <c r="L38" s="4" t="n"/>
      <c r="M38" s="4" t="n"/>
      <c r="N38" s="4" t="n"/>
      <c r="O38" s="4" t="n"/>
      <c r="P38" s="4" t="n"/>
      <c r="Q38" s="4" t="n"/>
      <c r="R38" s="4" t="n"/>
      <c r="S38" s="4" t="n"/>
      <c r="T38" s="4" t="n"/>
      <c r="U38" s="4" t="n"/>
      <c r="V38" s="4" t="n"/>
      <c r="W38" s="4" t="n"/>
      <c r="X38" s="4" t="n"/>
      <c r="Y38" s="4" t="n"/>
      <c r="Z38" s="4" t="n"/>
    </row>
    <row r="39" ht="15" customHeight="1" s="22">
      <c r="A39" s="15" t="inlineStr">
        <is>
          <t>T-13</t>
        </is>
      </c>
      <c r="B39" s="12" t="inlineStr">
        <is>
          <t>Prueba que verifica que ninguna ruta entregue la alternativa correcta</t>
        </is>
      </c>
      <c r="C39" s="15" t="inlineStr">
        <is>
          <t>RT-01</t>
        </is>
      </c>
      <c r="D39" s="12" t="inlineStr">
        <is>
          <t>Jeremías Fernández</t>
        </is>
      </c>
      <c r="E39" s="15" t="inlineStr">
        <is>
          <t>Hecho</t>
        </is>
      </c>
      <c r="F39" s="4" t="n"/>
      <c r="G39" s="4" t="n"/>
      <c r="H39" s="4" t="n"/>
      <c r="I39" s="4" t="n"/>
      <c r="J39" s="4" t="n"/>
      <c r="K39" s="4" t="n"/>
      <c r="L39" s="4" t="n"/>
      <c r="M39" s="4" t="n"/>
      <c r="N39" s="4" t="n"/>
      <c r="O39" s="4" t="n"/>
      <c r="P39" s="4" t="n"/>
      <c r="Q39" s="4" t="n"/>
      <c r="R39" s="4" t="n"/>
      <c r="S39" s="4" t="n"/>
      <c r="T39" s="4" t="n"/>
      <c r="U39" s="4" t="n"/>
      <c r="V39" s="4" t="n"/>
      <c r="W39" s="4" t="n"/>
      <c r="X39" s="4" t="n"/>
      <c r="Y39" s="4" t="n"/>
      <c r="Z39" s="4" t="n"/>
    </row>
    <row r="40" ht="23.25" customHeight="1" s="22">
      <c r="A40" s="15" t="inlineStr">
        <is>
          <t>T-24</t>
        </is>
      </c>
      <c r="B40" s="12" t="inlineStr">
        <is>
          <t>Diseñar y ejecutar las pruebas de aceptación de la entrega funcional 1</t>
        </is>
      </c>
      <c r="C40" s="15" t="inlineStr">
        <is>
          <t>HU-01, HU-02, HU-16, HU-21</t>
        </is>
      </c>
      <c r="D40" s="12" t="inlineStr">
        <is>
          <t>Martin Espinoza</t>
        </is>
      </c>
      <c r="E40" s="15" t="inlineStr">
        <is>
          <t>Hecho</t>
        </is>
      </c>
      <c r="F40" s="4" t="n"/>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22">
      <c r="A41" s="1" t="n"/>
      <c r="B41" s="1" t="n"/>
      <c r="C41" s="1" t="n"/>
      <c r="D41" s="1" t="n"/>
      <c r="E41" s="1" t="n"/>
      <c r="F41" s="4" t="n"/>
      <c r="G41" s="4" t="n"/>
      <c r="H41" s="4" t="n"/>
      <c r="I41" s="4" t="n"/>
      <c r="J41" s="4" t="n"/>
      <c r="K41" s="4" t="n"/>
      <c r="L41" s="4" t="n"/>
      <c r="M41" s="4" t="n"/>
      <c r="N41" s="4" t="n"/>
      <c r="O41" s="4" t="n"/>
      <c r="P41" s="4" t="n"/>
      <c r="Q41" s="4" t="n"/>
      <c r="R41" s="4" t="n"/>
      <c r="S41" s="4" t="n"/>
      <c r="T41" s="4" t="n"/>
      <c r="U41" s="4" t="n"/>
      <c r="V41" s="4" t="n"/>
      <c r="W41" s="4" t="n"/>
      <c r="X41" s="4" t="n"/>
      <c r="Y41" s="4" t="n"/>
      <c r="Z41" s="4" t="n"/>
    </row>
    <row r="42" ht="15" customHeight="1" s="22">
      <c r="A42" s="16" t="inlineStr">
        <is>
          <t>Cierre de la iteración</t>
        </is>
      </c>
      <c r="B42" s="1" t="n"/>
      <c r="C42" s="1" t="n"/>
      <c r="D42" s="1" t="n"/>
      <c r="E42" s="1" t="n"/>
      <c r="F42" s="4" t="n"/>
      <c r="G42" s="4" t="n"/>
      <c r="H42" s="4" t="n"/>
      <c r="I42" s="4" t="n"/>
      <c r="J42" s="4" t="n"/>
      <c r="K42" s="4" t="n"/>
      <c r="L42" s="4" t="n"/>
      <c r="M42" s="4" t="n"/>
      <c r="N42" s="4" t="n"/>
      <c r="O42" s="4" t="n"/>
      <c r="P42" s="4" t="n"/>
      <c r="Q42" s="4" t="n"/>
      <c r="R42" s="4" t="n"/>
      <c r="S42" s="4" t="n"/>
      <c r="T42" s="4" t="n"/>
      <c r="U42" s="4" t="n"/>
      <c r="V42" s="4" t="n"/>
      <c r="W42" s="4" t="n"/>
      <c r="X42" s="4" t="n"/>
      <c r="Y42" s="4" t="n"/>
      <c r="Z42" s="4" t="n"/>
    </row>
    <row r="43" ht="45" customHeight="1" s="22">
      <c r="A43" s="9" t="inlineStr">
        <is>
          <t>Resultado</t>
        </is>
      </c>
      <c r="B43" s="12" t="inlineStr">
        <is>
          <t>Se migró el backend a FastAPI, se incorporó el inicio de sesión con Firebase Authentication y se completaron la entrega de preguntas, el catálogo de pruebas, las preferencias y la pantalla Pregunta. Se sumó como trabajo no planificado el alta del alumno con GET /me (HT-07). HU-12 queda parcial: el formato facsímil se guarda, pero todavía no ordena la práctica. El servicio GET /questions/{id} (T-20) no se completó y pasa a la iteración 4, sin afectar los criterios de HU-01. La entrega funcional 1 fue aceptada en producción por el encargado de pruebas (T-24: 8 de 8 pasos aprobados, con siete hallazgos registrados).</t>
        </is>
      </c>
      <c r="C43" s="23" t="n"/>
      <c r="D43" s="23" t="n"/>
      <c r="E43" s="24" t="n"/>
      <c r="F43" s="4" t="n"/>
      <c r="G43" s="4" t="n"/>
      <c r="H43" s="4" t="n"/>
      <c r="I43" s="4" t="n"/>
      <c r="J43" s="4" t="n"/>
      <c r="K43" s="4" t="n"/>
      <c r="L43" s="4" t="n"/>
      <c r="M43" s="4" t="n"/>
      <c r="N43" s="4" t="n"/>
      <c r="O43" s="4" t="n"/>
      <c r="P43" s="4" t="n"/>
      <c r="Q43" s="4" t="n"/>
      <c r="R43" s="4" t="n"/>
      <c r="S43" s="4" t="n"/>
      <c r="T43" s="4" t="n"/>
      <c r="U43" s="4" t="n"/>
      <c r="V43" s="4" t="n"/>
      <c r="W43" s="4" t="n"/>
      <c r="X43" s="4" t="n"/>
      <c r="Y43" s="4" t="n"/>
      <c r="Z43" s="4" t="n"/>
    </row>
    <row r="44" ht="45" customHeight="1" s="22">
      <c r="A44" s="9" t="inlineStr">
        <is>
          <t>Ajuste acordado</t>
        </is>
      </c>
      <c r="B44" s="12" t="inlineStr">
        <is>
          <t>Planificar siempre con el Product Backlog vigente; registrar como historia el trabajo no planificado; cargar datos en producción solo desde main ya revisado; ejecutar la prueba de aceptación después de cada carga; y separar de inmediato una historia que no se completa, en lugar de mantenerla abierta.</t>
        </is>
      </c>
      <c r="C44" s="23" t="n"/>
      <c r="D44" s="23" t="n"/>
      <c r="E44" s="24" t="n"/>
      <c r="F44" s="4" t="n"/>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22">
      <c r="A45" s="1" t="n"/>
      <c r="B45" s="1" t="n"/>
      <c r="C45" s="1" t="n"/>
      <c r="D45" s="1" t="n"/>
      <c r="E45" s="1" t="n"/>
      <c r="F45" s="4" t="n"/>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22">
      <c r="A46" s="1" t="n"/>
      <c r="B46" s="1" t="n"/>
      <c r="C46" s="1" t="n"/>
      <c r="D46" s="1" t="n"/>
      <c r="E46" s="1" t="n"/>
      <c r="F46" s="4" t="n"/>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22">
      <c r="A47" s="1" t="n"/>
      <c r="B47" s="1" t="n"/>
      <c r="C47" s="1" t="n"/>
      <c r="D47" s="1" t="n"/>
      <c r="E47" s="1" t="n"/>
      <c r="F47" s="4" t="n"/>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22">
      <c r="A48" s="1" t="n"/>
      <c r="B48" s="1" t="n"/>
      <c r="C48" s="1" t="n"/>
      <c r="D48" s="1" t="n"/>
      <c r="E48" s="1" t="n"/>
      <c r="F48" s="4" t="n"/>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22">
      <c r="A49" s="1" t="n"/>
      <c r="B49" s="1" t="n"/>
      <c r="C49" s="1" t="n"/>
      <c r="D49" s="1" t="n"/>
      <c r="E49" s="1" t="n"/>
      <c r="F49" s="4" t="n"/>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22">
      <c r="A50" s="1" t="n"/>
      <c r="B50" s="1" t="n"/>
      <c r="C50" s="1" t="n"/>
      <c r="D50" s="1" t="n"/>
      <c r="E50" s="1" t="n"/>
      <c r="F50" s="4" t="n"/>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22">
      <c r="A51" s="1" t="n"/>
      <c r="B51" s="1" t="n"/>
      <c r="C51" s="1" t="n"/>
      <c r="D51" s="1" t="n"/>
      <c r="E51" s="1" t="n"/>
      <c r="F51" s="4" t="n"/>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22">
      <c r="A52" s="1" t="n"/>
      <c r="B52" s="1" t="n"/>
      <c r="C52" s="1" t="n"/>
      <c r="D52" s="1" t="n"/>
      <c r="E52" s="1" t="n"/>
      <c r="F52" s="4" t="n"/>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22">
      <c r="A53" s="1" t="n"/>
      <c r="B53" s="1" t="n"/>
      <c r="C53" s="1" t="n"/>
      <c r="D53" s="1" t="n"/>
      <c r="E53" s="1" t="n"/>
      <c r="F53" s="4" t="n"/>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22">
      <c r="A54" s="1" t="n"/>
      <c r="B54" s="1" t="n"/>
      <c r="C54" s="1" t="n"/>
      <c r="D54" s="1" t="n"/>
      <c r="E54" s="1" t="n"/>
      <c r="F54" s="4" t="n"/>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22">
      <c r="A55" s="1" t="n"/>
      <c r="B55" s="1" t="n"/>
      <c r="C55" s="1" t="n"/>
      <c r="D55" s="1" t="n"/>
      <c r="E55" s="1" t="n"/>
      <c r="F55" s="4" t="n"/>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22">
      <c r="A56" s="1" t="n"/>
      <c r="B56" s="1" t="n"/>
      <c r="C56" s="1" t="n"/>
      <c r="D56" s="1" t="n"/>
      <c r="E56" s="1" t="n"/>
      <c r="F56" s="4" t="n"/>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22">
      <c r="A57" s="1" t="n"/>
      <c r="B57" s="1" t="n"/>
      <c r="C57" s="1" t="n"/>
      <c r="D57" s="1" t="n"/>
      <c r="E57" s="1" t="n"/>
      <c r="F57" s="4" t="n"/>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22">
      <c r="A58" s="1" t="n"/>
      <c r="B58" s="1" t="n"/>
      <c r="C58" s="1" t="n"/>
      <c r="D58" s="1" t="n"/>
      <c r="E58" s="1" t="n"/>
      <c r="F58" s="4" t="n"/>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22">
      <c r="A59" s="1" t="n"/>
      <c r="B59" s="1" t="n"/>
      <c r="C59" s="1" t="n"/>
      <c r="D59" s="1" t="n"/>
      <c r="E59" s="1" t="n"/>
      <c r="F59" s="4" t="n"/>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22">
      <c r="A60" s="1" t="n"/>
      <c r="B60" s="1" t="n"/>
      <c r="C60" s="1" t="n"/>
      <c r="D60" s="1" t="n"/>
      <c r="E60" s="1" t="n"/>
      <c r="F60" s="4" t="n"/>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22">
      <c r="A61" s="1" t="n"/>
      <c r="B61" s="1" t="n"/>
      <c r="C61" s="1" t="n"/>
      <c r="D61" s="1" t="n"/>
      <c r="E61" s="1" t="n"/>
      <c r="F61" s="4" t="n"/>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22">
      <c r="A62" s="1" t="n"/>
      <c r="B62" s="1" t="n"/>
      <c r="C62" s="1" t="n"/>
      <c r="D62" s="1" t="n"/>
      <c r="E62" s="1" t="n"/>
      <c r="F62" s="4" t="n"/>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22">
      <c r="A63" s="1" t="n"/>
      <c r="B63" s="1" t="n"/>
      <c r="C63" s="1" t="n"/>
      <c r="D63" s="1" t="n"/>
      <c r="E63" s="1" t="n"/>
      <c r="F63" s="4" t="n"/>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22">
      <c r="A64" s="1" t="n"/>
      <c r="B64" s="1" t="n"/>
      <c r="C64" s="1" t="n"/>
      <c r="D64" s="1" t="n"/>
      <c r="E64" s="1" t="n"/>
      <c r="F64" s="4" t="n"/>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22">
      <c r="A65" s="1" t="n"/>
      <c r="B65" s="1" t="n"/>
      <c r="C65" s="1" t="n"/>
      <c r="D65" s="1" t="n"/>
      <c r="E65" s="1" t="n"/>
      <c r="F65" s="4" t="n"/>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22">
      <c r="A66" s="1" t="n"/>
      <c r="B66" s="1" t="n"/>
      <c r="C66" s="1" t="n"/>
      <c r="D66" s="1" t="n"/>
      <c r="E66" s="1" t="n"/>
      <c r="F66" s="4" t="n"/>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22">
      <c r="A67" s="1" t="n"/>
      <c r="B67" s="1" t="n"/>
      <c r="C67" s="1" t="n"/>
      <c r="D67" s="1" t="n"/>
      <c r="E67" s="1" t="n"/>
      <c r="F67" s="4" t="n"/>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22">
      <c r="A68" s="1" t="n"/>
      <c r="B68" s="1" t="n"/>
      <c r="C68" s="1" t="n"/>
      <c r="D68" s="1" t="n"/>
      <c r="E68" s="1" t="n"/>
      <c r="F68" s="4" t="n"/>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22">
      <c r="A69" s="1" t="n"/>
      <c r="B69" s="1" t="n"/>
      <c r="C69" s="1" t="n"/>
      <c r="D69" s="1" t="n"/>
      <c r="E69" s="1" t="n"/>
      <c r="F69" s="4" t="n"/>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22">
      <c r="A70" s="1" t="n"/>
      <c r="B70" s="1" t="n"/>
      <c r="C70" s="1" t="n"/>
      <c r="D70" s="1" t="n"/>
      <c r="E70" s="1" t="n"/>
      <c r="F70" s="4" t="n"/>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22">
      <c r="A71" s="1" t="n"/>
      <c r="B71" s="1" t="n"/>
      <c r="C71" s="1" t="n"/>
      <c r="D71" s="1" t="n"/>
      <c r="E71" s="1" t="n"/>
      <c r="F71" s="4" t="n"/>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22">
      <c r="A72" s="1" t="n"/>
      <c r="B72" s="1" t="n"/>
      <c r="C72" s="1" t="n"/>
      <c r="D72" s="1" t="n"/>
      <c r="E72" s="1" t="n"/>
      <c r="F72" s="4" t="n"/>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22">
      <c r="A73" s="1" t="n"/>
      <c r="B73" s="1" t="n"/>
      <c r="C73" s="1" t="n"/>
      <c r="D73" s="1" t="n"/>
      <c r="E73" s="1" t="n"/>
      <c r="F73" s="4" t="n"/>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22">
      <c r="A74" s="1" t="n"/>
      <c r="B74" s="1" t="n"/>
      <c r="C74" s="1" t="n"/>
      <c r="D74" s="1" t="n"/>
      <c r="E74" s="1" t="n"/>
      <c r="F74" s="4" t="n"/>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22">
      <c r="A75" s="1" t="n"/>
      <c r="B75" s="1" t="n"/>
      <c r="C75" s="1" t="n"/>
      <c r="D75" s="1" t="n"/>
      <c r="E75" s="1" t="n"/>
      <c r="F75" s="4" t="n"/>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22">
      <c r="A76" s="1" t="n"/>
      <c r="B76" s="1" t="n"/>
      <c r="C76" s="1" t="n"/>
      <c r="D76" s="1" t="n"/>
      <c r="E76" s="1" t="n"/>
      <c r="F76" s="4" t="n"/>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22">
      <c r="A77" s="1" t="n"/>
      <c r="B77" s="1" t="n"/>
      <c r="C77" s="1" t="n"/>
      <c r="D77" s="1" t="n"/>
      <c r="E77" s="1" t="n"/>
      <c r="F77" s="4" t="n"/>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22">
      <c r="A78" s="1" t="n"/>
      <c r="B78" s="1" t="n"/>
      <c r="C78" s="1" t="n"/>
      <c r="D78" s="1" t="n"/>
      <c r="E78" s="1" t="n"/>
      <c r="F78" s="4" t="n"/>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22">
      <c r="A79" s="1" t="n"/>
      <c r="B79" s="1" t="n"/>
      <c r="C79" s="1" t="n"/>
      <c r="D79" s="1" t="n"/>
      <c r="E79" s="1" t="n"/>
      <c r="F79" s="4" t="n"/>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22">
      <c r="A80" s="1" t="n"/>
      <c r="B80" s="1" t="n"/>
      <c r="C80" s="1" t="n"/>
      <c r="D80" s="1" t="n"/>
      <c r="E80" s="1" t="n"/>
      <c r="F80" s="4" t="n"/>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22">
      <c r="A81" s="1" t="n"/>
      <c r="B81" s="1" t="n"/>
      <c r="C81" s="1" t="n"/>
      <c r="D81" s="1" t="n"/>
      <c r="E81" s="1" t="n"/>
      <c r="F81" s="4" t="n"/>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22">
      <c r="A82" s="1" t="n"/>
      <c r="B82" s="1" t="n"/>
      <c r="C82" s="1" t="n"/>
      <c r="D82" s="1" t="n"/>
      <c r="E82" s="1" t="n"/>
      <c r="F82" s="4" t="n"/>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22">
      <c r="A83" s="1" t="n"/>
      <c r="B83" s="1" t="n"/>
      <c r="C83" s="1" t="n"/>
      <c r="D83" s="1" t="n"/>
      <c r="E83" s="1" t="n"/>
      <c r="F83" s="4" t="n"/>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22">
      <c r="A84" s="1" t="n"/>
      <c r="B84" s="1" t="n"/>
      <c r="C84" s="1" t="n"/>
      <c r="D84" s="1" t="n"/>
      <c r="E84" s="1" t="n"/>
      <c r="F84" s="4" t="n"/>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22">
      <c r="A85" s="1" t="n"/>
      <c r="B85" s="1" t="n"/>
      <c r="C85" s="1" t="n"/>
      <c r="D85" s="1" t="n"/>
      <c r="E85" s="1" t="n"/>
      <c r="F85" s="4" t="n"/>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22">
      <c r="A86" s="1" t="n"/>
      <c r="B86" s="1" t="n"/>
      <c r="C86" s="1" t="n"/>
      <c r="D86" s="1" t="n"/>
      <c r="E86" s="1" t="n"/>
      <c r="F86" s="4" t="n"/>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22">
      <c r="A87" s="1" t="n"/>
      <c r="B87" s="1" t="n"/>
      <c r="C87" s="1" t="n"/>
      <c r="D87" s="1" t="n"/>
      <c r="E87" s="1" t="n"/>
      <c r="F87" s="4" t="n"/>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22">
      <c r="A88" s="1" t="n"/>
      <c r="B88" s="1" t="n"/>
      <c r="C88" s="1" t="n"/>
      <c r="D88" s="1" t="n"/>
      <c r="E88" s="1" t="n"/>
      <c r="F88" s="4" t="n"/>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22">
      <c r="A89" s="1" t="n"/>
      <c r="B89" s="1" t="n"/>
      <c r="C89" s="1" t="n"/>
      <c r="D89" s="1" t="n"/>
      <c r="E89" s="1" t="n"/>
      <c r="F89" s="4" t="n"/>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22">
      <c r="A90" s="1" t="n"/>
      <c r="B90" s="1" t="n"/>
      <c r="C90" s="1" t="n"/>
      <c r="D90" s="1" t="n"/>
      <c r="E90" s="1" t="n"/>
      <c r="F90" s="4" t="n"/>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22">
      <c r="A91" s="1" t="n"/>
      <c r="B91" s="1" t="n"/>
      <c r="C91" s="1" t="n"/>
      <c r="D91" s="1" t="n"/>
      <c r="E91" s="1" t="n"/>
      <c r="F91" s="4" t="n"/>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22">
      <c r="A92" s="1" t="n"/>
      <c r="B92" s="1" t="n"/>
      <c r="C92" s="1" t="n"/>
      <c r="D92" s="1" t="n"/>
      <c r="E92" s="1" t="n"/>
      <c r="F92" s="4" t="n"/>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22">
      <c r="A93" s="1" t="n"/>
      <c r="B93" s="1" t="n"/>
      <c r="C93" s="1" t="n"/>
      <c r="D93" s="1" t="n"/>
      <c r="E93" s="1" t="n"/>
      <c r="F93" s="4" t="n"/>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22">
      <c r="A94" s="1" t="n"/>
      <c r="B94" s="1" t="n"/>
      <c r="C94" s="1" t="n"/>
      <c r="D94" s="1" t="n"/>
      <c r="E94" s="1" t="n"/>
      <c r="F94" s="4" t="n"/>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22">
      <c r="A95" s="1" t="n"/>
      <c r="B95" s="1" t="n"/>
      <c r="C95" s="1" t="n"/>
      <c r="D95" s="1" t="n"/>
      <c r="E95" s="1" t="n"/>
      <c r="F95" s="4" t="n"/>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22">
      <c r="A96" s="1" t="n"/>
      <c r="B96" s="1" t="n"/>
      <c r="C96" s="1" t="n"/>
      <c r="D96" s="1" t="n"/>
      <c r="E96" s="1" t="n"/>
      <c r="F96" s="4" t="n"/>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22">
      <c r="A97" s="1" t="n"/>
      <c r="B97" s="1" t="n"/>
      <c r="C97" s="1" t="n"/>
      <c r="D97" s="1" t="n"/>
      <c r="E97" s="1" t="n"/>
      <c r="F97" s="4" t="n"/>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22">
      <c r="A98" s="1" t="n"/>
      <c r="B98" s="1" t="n"/>
      <c r="C98" s="1" t="n"/>
      <c r="D98" s="1" t="n"/>
      <c r="E98" s="1" t="n"/>
      <c r="F98" s="4" t="n"/>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22">
      <c r="A99" s="1" t="n"/>
      <c r="B99" s="1" t="n"/>
      <c r="C99" s="1" t="n"/>
      <c r="D99" s="1" t="n"/>
      <c r="E99" s="1" t="n"/>
      <c r="F99" s="4" t="n"/>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22">
      <c r="A100" s="1" t="n"/>
      <c r="B100" s="1" t="n"/>
      <c r="C100" s="1" t="n"/>
      <c r="D100" s="1" t="n"/>
      <c r="E100" s="1" t="n"/>
      <c r="F100" s="4" t="n"/>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22">
      <c r="A101" s="1" t="n"/>
      <c r="B101" s="1" t="n"/>
      <c r="C101" s="1" t="n"/>
      <c r="D101" s="1" t="n"/>
      <c r="E101" s="1" t="n"/>
      <c r="F101" s="4" t="n"/>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22">
      <c r="A102" s="1" t="n"/>
      <c r="B102" s="1" t="n"/>
      <c r="C102" s="1" t="n"/>
      <c r="D102" s="1" t="n"/>
      <c r="E102" s="1" t="n"/>
      <c r="F102" s="4" t="n"/>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22">
      <c r="A103" s="1" t="n"/>
      <c r="B103" s="1" t="n"/>
      <c r="C103" s="1" t="n"/>
      <c r="D103" s="1" t="n"/>
      <c r="E103" s="1" t="n"/>
      <c r="F103" s="4" t="n"/>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22">
      <c r="A104" s="1" t="n"/>
      <c r="B104" s="1" t="n"/>
      <c r="C104" s="1" t="n"/>
      <c r="D104" s="1" t="n"/>
      <c r="E104" s="1" t="n"/>
      <c r="F104" s="4" t="n"/>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22">
      <c r="A105" s="1" t="n"/>
      <c r="B105" s="1" t="n"/>
      <c r="C105" s="1" t="n"/>
      <c r="D105" s="1" t="n"/>
      <c r="E105" s="1" t="n"/>
      <c r="F105" s="4" t="n"/>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22">
      <c r="A106" s="1" t="n"/>
      <c r="B106" s="1" t="n"/>
      <c r="C106" s="1" t="n"/>
      <c r="D106" s="1" t="n"/>
      <c r="E106" s="1" t="n"/>
      <c r="F106" s="4" t="n"/>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22">
      <c r="A107" s="1" t="n"/>
      <c r="B107" s="1" t="n"/>
      <c r="C107" s="1" t="n"/>
      <c r="D107" s="1" t="n"/>
      <c r="E107" s="1" t="n"/>
      <c r="F107" s="4" t="n"/>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22">
      <c r="A108" s="1" t="n"/>
      <c r="B108" s="1" t="n"/>
      <c r="C108" s="1" t="n"/>
      <c r="D108" s="1" t="n"/>
      <c r="E108" s="1" t="n"/>
      <c r="F108" s="4" t="n"/>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22">
      <c r="A109" s="1" t="n"/>
      <c r="B109" s="1" t="n"/>
      <c r="C109" s="1" t="n"/>
      <c r="D109" s="1" t="n"/>
      <c r="E109" s="1" t="n"/>
      <c r="F109" s="4" t="n"/>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22">
      <c r="A110" s="1" t="n"/>
      <c r="B110" s="1" t="n"/>
      <c r="C110" s="1" t="n"/>
      <c r="D110" s="1" t="n"/>
      <c r="E110" s="1" t="n"/>
      <c r="F110" s="4" t="n"/>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22">
      <c r="A111" s="1" t="n"/>
      <c r="B111" s="1" t="n"/>
      <c r="C111" s="1" t="n"/>
      <c r="D111" s="1" t="n"/>
      <c r="E111" s="1" t="n"/>
      <c r="F111" s="4" t="n"/>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22">
      <c r="A112" s="1" t="n"/>
      <c r="B112" s="1" t="n"/>
      <c r="C112" s="1" t="n"/>
      <c r="D112" s="1" t="n"/>
      <c r="E112" s="1" t="n"/>
      <c r="F112" s="4" t="n"/>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22">
      <c r="A113" s="1" t="n"/>
      <c r="B113" s="1" t="n"/>
      <c r="C113" s="1" t="n"/>
      <c r="D113" s="1" t="n"/>
      <c r="E113" s="1" t="n"/>
      <c r="F113" s="4" t="n"/>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22">
      <c r="A114" s="1" t="n"/>
      <c r="B114" s="1" t="n"/>
      <c r="C114" s="1" t="n"/>
      <c r="D114" s="1" t="n"/>
      <c r="E114" s="1" t="n"/>
      <c r="F114" s="4" t="n"/>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22">
      <c r="A115" s="1" t="n"/>
      <c r="B115" s="1" t="n"/>
      <c r="C115" s="1" t="n"/>
      <c r="D115" s="1" t="n"/>
      <c r="E115" s="1" t="n"/>
      <c r="F115" s="4" t="n"/>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22">
      <c r="A116" s="1" t="n"/>
      <c r="B116" s="1" t="n"/>
      <c r="C116" s="1" t="n"/>
      <c r="D116" s="1" t="n"/>
      <c r="E116" s="1" t="n"/>
      <c r="F116" s="4" t="n"/>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22">
      <c r="A117" s="1" t="n"/>
      <c r="B117" s="1" t="n"/>
      <c r="C117" s="1" t="n"/>
      <c r="D117" s="1" t="n"/>
      <c r="E117" s="1" t="n"/>
      <c r="F117" s="4" t="n"/>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22">
      <c r="A118" s="1" t="n"/>
      <c r="B118" s="1" t="n"/>
      <c r="C118" s="1" t="n"/>
      <c r="D118" s="1" t="n"/>
      <c r="E118" s="1" t="n"/>
      <c r="F118" s="4" t="n"/>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22">
      <c r="A119" s="1" t="n"/>
      <c r="B119" s="1" t="n"/>
      <c r="C119" s="1" t="n"/>
      <c r="D119" s="1" t="n"/>
      <c r="E119" s="1" t="n"/>
      <c r="F119" s="4" t="n"/>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22">
      <c r="A120" s="1" t="n"/>
      <c r="B120" s="1" t="n"/>
      <c r="C120" s="1" t="n"/>
      <c r="D120" s="1" t="n"/>
      <c r="E120" s="1" t="n"/>
      <c r="F120" s="4" t="n"/>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22">
      <c r="A121" s="1" t="n"/>
      <c r="B121" s="1" t="n"/>
      <c r="C121" s="1" t="n"/>
      <c r="D121" s="1" t="n"/>
      <c r="E121" s="1" t="n"/>
      <c r="F121" s="4" t="n"/>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22">
      <c r="A122" s="1" t="n"/>
      <c r="B122" s="1" t="n"/>
      <c r="C122" s="1" t="n"/>
      <c r="D122" s="1" t="n"/>
      <c r="E122" s="1" t="n"/>
      <c r="F122" s="4" t="n"/>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22">
      <c r="A123" s="1" t="n"/>
      <c r="B123" s="1" t="n"/>
      <c r="C123" s="1" t="n"/>
      <c r="D123" s="1" t="n"/>
      <c r="E123" s="1" t="n"/>
      <c r="F123" s="4" t="n"/>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22">
      <c r="A124" s="1" t="n"/>
      <c r="B124" s="1" t="n"/>
      <c r="C124" s="1" t="n"/>
      <c r="D124" s="1" t="n"/>
      <c r="E124" s="1" t="n"/>
      <c r="F124" s="4" t="n"/>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22">
      <c r="A125" s="1" t="n"/>
      <c r="B125" s="1" t="n"/>
      <c r="C125" s="1" t="n"/>
      <c r="D125" s="1" t="n"/>
      <c r="E125" s="1" t="n"/>
      <c r="F125" s="4" t="n"/>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22">
      <c r="A126" s="1" t="n"/>
      <c r="B126" s="1" t="n"/>
      <c r="C126" s="1" t="n"/>
      <c r="D126" s="1" t="n"/>
      <c r="E126" s="1" t="n"/>
      <c r="F126" s="4" t="n"/>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22">
      <c r="A127" s="1" t="n"/>
      <c r="B127" s="1" t="n"/>
      <c r="C127" s="1" t="n"/>
      <c r="D127" s="1" t="n"/>
      <c r="E127" s="1" t="n"/>
      <c r="F127" s="4" t="n"/>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22">
      <c r="A128" s="1" t="n"/>
      <c r="B128" s="1" t="n"/>
      <c r="C128" s="1" t="n"/>
      <c r="D128" s="1" t="n"/>
      <c r="E128" s="1" t="n"/>
      <c r="F128" s="4" t="n"/>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22">
      <c r="A129" s="1" t="n"/>
      <c r="B129" s="1" t="n"/>
      <c r="C129" s="1" t="n"/>
      <c r="D129" s="1" t="n"/>
      <c r="E129" s="1" t="n"/>
      <c r="F129" s="4" t="n"/>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22">
      <c r="A130" s="1" t="n"/>
      <c r="B130" s="1" t="n"/>
      <c r="C130" s="1" t="n"/>
      <c r="D130" s="1" t="n"/>
      <c r="E130" s="1" t="n"/>
      <c r="F130" s="4" t="n"/>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22">
      <c r="A131" s="1" t="n"/>
      <c r="B131" s="1" t="n"/>
      <c r="C131" s="1" t="n"/>
      <c r="D131" s="1" t="n"/>
      <c r="E131" s="1" t="n"/>
      <c r="F131" s="4" t="n"/>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22">
      <c r="A132" s="1" t="n"/>
      <c r="B132" s="1" t="n"/>
      <c r="C132" s="1" t="n"/>
      <c r="D132" s="1" t="n"/>
      <c r="E132" s="1" t="n"/>
      <c r="F132" s="4" t="n"/>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22">
      <c r="A133" s="1" t="n"/>
      <c r="B133" s="1" t="n"/>
      <c r="C133" s="1" t="n"/>
      <c r="D133" s="1" t="n"/>
      <c r="E133" s="1" t="n"/>
      <c r="F133" s="4" t="n"/>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22">
      <c r="A134" s="1" t="n"/>
      <c r="B134" s="1" t="n"/>
      <c r="C134" s="1" t="n"/>
      <c r="D134" s="1" t="n"/>
      <c r="E134" s="1" t="n"/>
      <c r="F134" s="4" t="n"/>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22">
      <c r="A135" s="1" t="n"/>
      <c r="B135" s="1" t="n"/>
      <c r="C135" s="1" t="n"/>
      <c r="D135" s="1" t="n"/>
      <c r="E135" s="1" t="n"/>
      <c r="F135" s="4" t="n"/>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22">
      <c r="A136" s="1" t="n"/>
      <c r="B136" s="1" t="n"/>
      <c r="C136" s="1" t="n"/>
      <c r="D136" s="1" t="n"/>
      <c r="E136" s="1" t="n"/>
      <c r="F136" s="4" t="n"/>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22">
      <c r="A137" s="1" t="n"/>
      <c r="B137" s="1" t="n"/>
      <c r="C137" s="1" t="n"/>
      <c r="D137" s="1" t="n"/>
      <c r="E137" s="1" t="n"/>
      <c r="F137" s="4" t="n"/>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22">
      <c r="A138" s="1" t="n"/>
      <c r="B138" s="1" t="n"/>
      <c r="C138" s="1" t="n"/>
      <c r="D138" s="1" t="n"/>
      <c r="E138" s="1" t="n"/>
      <c r="F138" s="4" t="n"/>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22">
      <c r="A139" s="1" t="n"/>
      <c r="B139" s="1" t="n"/>
      <c r="C139" s="1" t="n"/>
      <c r="D139" s="1" t="n"/>
      <c r="E139" s="1" t="n"/>
      <c r="F139" s="4" t="n"/>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22">
      <c r="A140" s="1" t="n"/>
      <c r="B140" s="1" t="n"/>
      <c r="C140" s="1" t="n"/>
      <c r="D140" s="1" t="n"/>
      <c r="E140" s="1" t="n"/>
      <c r="F140" s="4" t="n"/>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22">
      <c r="A141" s="1" t="n"/>
      <c r="B141" s="1" t="n"/>
      <c r="C141" s="1" t="n"/>
      <c r="D141" s="1" t="n"/>
      <c r="E141" s="1" t="n"/>
      <c r="F141" s="4" t="n"/>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22">
      <c r="A142" s="1" t="n"/>
      <c r="B142" s="1" t="n"/>
      <c r="C142" s="1" t="n"/>
      <c r="D142" s="1" t="n"/>
      <c r="E142" s="1" t="n"/>
      <c r="F142" s="4" t="n"/>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22">
      <c r="A143" s="1" t="n"/>
      <c r="B143" s="1" t="n"/>
      <c r="C143" s="1" t="n"/>
      <c r="D143" s="1" t="n"/>
      <c r="E143" s="1" t="n"/>
      <c r="F143" s="4" t="n"/>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22">
      <c r="A144" s="1" t="n"/>
      <c r="B144" s="1" t="n"/>
      <c r="C144" s="1" t="n"/>
      <c r="D144" s="1" t="n"/>
      <c r="E144" s="1" t="n"/>
      <c r="F144" s="4" t="n"/>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22">
      <c r="A145" s="1" t="n"/>
      <c r="B145" s="1" t="n"/>
      <c r="C145" s="1" t="n"/>
      <c r="D145" s="1" t="n"/>
      <c r="E145" s="1" t="n"/>
      <c r="F145" s="4" t="n"/>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22">
      <c r="A146" s="1" t="n"/>
      <c r="B146" s="1" t="n"/>
      <c r="C146" s="1" t="n"/>
      <c r="D146" s="1" t="n"/>
      <c r="E146" s="1" t="n"/>
      <c r="F146" s="4" t="n"/>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22">
      <c r="A147" s="1" t="n"/>
      <c r="B147" s="1" t="n"/>
      <c r="C147" s="1" t="n"/>
      <c r="D147" s="1" t="n"/>
      <c r="E147" s="1" t="n"/>
      <c r="F147" s="4" t="n"/>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22">
      <c r="A148" s="1" t="n"/>
      <c r="B148" s="1" t="n"/>
      <c r="C148" s="1" t="n"/>
      <c r="D148" s="1" t="n"/>
      <c r="E148" s="1" t="n"/>
      <c r="F148" s="4" t="n"/>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22">
      <c r="A149" s="1" t="n"/>
      <c r="B149" s="1" t="n"/>
      <c r="C149" s="1" t="n"/>
      <c r="D149" s="1" t="n"/>
      <c r="E149" s="1" t="n"/>
      <c r="F149" s="4" t="n"/>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22">
      <c r="A150" s="1" t="n"/>
      <c r="B150" s="1" t="n"/>
      <c r="C150" s="1" t="n"/>
      <c r="D150" s="1" t="n"/>
      <c r="E150" s="1" t="n"/>
      <c r="F150" s="4" t="n"/>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22">
      <c r="A151" s="1" t="n"/>
      <c r="B151" s="1" t="n"/>
      <c r="C151" s="1" t="n"/>
      <c r="D151" s="1" t="n"/>
      <c r="E151" s="1" t="n"/>
      <c r="F151" s="4" t="n"/>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22">
      <c r="A152" s="1" t="n"/>
      <c r="B152" s="1" t="n"/>
      <c r="C152" s="1" t="n"/>
      <c r="D152" s="1" t="n"/>
      <c r="E152" s="1" t="n"/>
      <c r="F152" s="4" t="n"/>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22">
      <c r="A153" s="1" t="n"/>
      <c r="B153" s="1" t="n"/>
      <c r="C153" s="1" t="n"/>
      <c r="D153" s="1" t="n"/>
      <c r="E153" s="1" t="n"/>
      <c r="F153" s="4" t="n"/>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22">
      <c r="A154" s="1" t="n"/>
      <c r="B154" s="1" t="n"/>
      <c r="C154" s="1" t="n"/>
      <c r="D154" s="1" t="n"/>
      <c r="E154" s="1" t="n"/>
      <c r="F154" s="4" t="n"/>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22">
      <c r="A155" s="1" t="n"/>
      <c r="B155" s="1" t="n"/>
      <c r="C155" s="1" t="n"/>
      <c r="D155" s="1" t="n"/>
      <c r="E155" s="1" t="n"/>
      <c r="F155" s="4" t="n"/>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22">
      <c r="A156" s="1" t="n"/>
      <c r="B156" s="1" t="n"/>
      <c r="C156" s="1" t="n"/>
      <c r="D156" s="1" t="n"/>
      <c r="E156" s="1" t="n"/>
      <c r="F156" s="4" t="n"/>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22">
      <c r="A157" s="1" t="n"/>
      <c r="B157" s="1" t="n"/>
      <c r="C157" s="1" t="n"/>
      <c r="D157" s="1" t="n"/>
      <c r="E157" s="1" t="n"/>
      <c r="F157" s="4" t="n"/>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22">
      <c r="A158" s="1" t="n"/>
      <c r="B158" s="1" t="n"/>
      <c r="C158" s="1" t="n"/>
      <c r="D158" s="1" t="n"/>
      <c r="E158" s="1" t="n"/>
      <c r="F158" s="4" t="n"/>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22">
      <c r="A159" s="1" t="n"/>
      <c r="B159" s="1" t="n"/>
      <c r="C159" s="1" t="n"/>
      <c r="D159" s="1" t="n"/>
      <c r="E159" s="1" t="n"/>
      <c r="F159" s="4" t="n"/>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22">
      <c r="A160" s="1" t="n"/>
      <c r="B160" s="1" t="n"/>
      <c r="C160" s="1" t="n"/>
      <c r="D160" s="1" t="n"/>
      <c r="E160" s="1" t="n"/>
      <c r="F160" s="4" t="n"/>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22">
      <c r="A161" s="1" t="n"/>
      <c r="B161" s="1" t="n"/>
      <c r="C161" s="1" t="n"/>
      <c r="D161" s="1" t="n"/>
      <c r="E161" s="1" t="n"/>
      <c r="F161" s="4" t="n"/>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22">
      <c r="A162" s="1" t="n"/>
      <c r="B162" s="1" t="n"/>
      <c r="C162" s="1" t="n"/>
      <c r="D162" s="1" t="n"/>
      <c r="E162" s="1" t="n"/>
      <c r="F162" s="4" t="n"/>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22">
      <c r="A163" s="1" t="n"/>
      <c r="B163" s="1" t="n"/>
      <c r="C163" s="1" t="n"/>
      <c r="D163" s="1" t="n"/>
      <c r="E163" s="1" t="n"/>
      <c r="F163" s="4" t="n"/>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22">
      <c r="A164" s="1" t="n"/>
      <c r="B164" s="1" t="n"/>
      <c r="C164" s="1" t="n"/>
      <c r="D164" s="1" t="n"/>
      <c r="E164" s="1" t="n"/>
      <c r="F164" s="4" t="n"/>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22">
      <c r="A165" s="1" t="n"/>
      <c r="B165" s="1" t="n"/>
      <c r="C165" s="1" t="n"/>
      <c r="D165" s="1" t="n"/>
      <c r="E165" s="1" t="n"/>
      <c r="F165" s="4" t="n"/>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22">
      <c r="A166" s="1" t="n"/>
      <c r="B166" s="1" t="n"/>
      <c r="C166" s="1" t="n"/>
      <c r="D166" s="1" t="n"/>
      <c r="E166" s="1" t="n"/>
      <c r="F166" s="4" t="n"/>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22">
      <c r="A167" s="1" t="n"/>
      <c r="B167" s="1" t="n"/>
      <c r="C167" s="1" t="n"/>
      <c r="D167" s="1" t="n"/>
      <c r="E167" s="1" t="n"/>
      <c r="F167" s="4" t="n"/>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22">
      <c r="A168" s="1" t="n"/>
      <c r="B168" s="1" t="n"/>
      <c r="C168" s="1" t="n"/>
      <c r="D168" s="1" t="n"/>
      <c r="E168" s="1" t="n"/>
      <c r="F168" s="4" t="n"/>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22">
      <c r="A169" s="1" t="n"/>
      <c r="B169" s="1" t="n"/>
      <c r="C169" s="1" t="n"/>
      <c r="D169" s="1" t="n"/>
      <c r="E169" s="1" t="n"/>
      <c r="F169" s="4" t="n"/>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22">
      <c r="A170" s="1" t="n"/>
      <c r="B170" s="1" t="n"/>
      <c r="C170" s="1" t="n"/>
      <c r="D170" s="1" t="n"/>
      <c r="E170" s="1" t="n"/>
      <c r="F170" s="4" t="n"/>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22">
      <c r="A171" s="1" t="n"/>
      <c r="B171" s="1" t="n"/>
      <c r="C171" s="1" t="n"/>
      <c r="D171" s="1" t="n"/>
      <c r="E171" s="1" t="n"/>
      <c r="F171" s="4" t="n"/>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22">
      <c r="A172" s="1" t="n"/>
      <c r="B172" s="1" t="n"/>
      <c r="C172" s="1" t="n"/>
      <c r="D172" s="1" t="n"/>
      <c r="E172" s="1" t="n"/>
      <c r="F172" s="4" t="n"/>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22">
      <c r="A173" s="1" t="n"/>
      <c r="B173" s="1" t="n"/>
      <c r="C173" s="1" t="n"/>
      <c r="D173" s="1" t="n"/>
      <c r="E173" s="1" t="n"/>
      <c r="F173" s="4" t="n"/>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22">
      <c r="A174" s="1" t="n"/>
      <c r="B174" s="1" t="n"/>
      <c r="C174" s="1" t="n"/>
      <c r="D174" s="1" t="n"/>
      <c r="E174" s="1" t="n"/>
      <c r="F174" s="4" t="n"/>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22">
      <c r="A175" s="1" t="n"/>
      <c r="B175" s="1" t="n"/>
      <c r="C175" s="1" t="n"/>
      <c r="D175" s="1" t="n"/>
      <c r="E175" s="1" t="n"/>
      <c r="F175" s="4" t="n"/>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22">
      <c r="A176" s="1" t="n"/>
      <c r="B176" s="1" t="n"/>
      <c r="C176" s="1" t="n"/>
      <c r="D176" s="1" t="n"/>
      <c r="E176" s="1" t="n"/>
      <c r="F176" s="4" t="n"/>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22">
      <c r="A177" s="1" t="n"/>
      <c r="B177" s="1" t="n"/>
      <c r="C177" s="1" t="n"/>
      <c r="D177" s="1" t="n"/>
      <c r="E177" s="1"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22">
      <c r="A178" s="1" t="n"/>
      <c r="B178" s="1" t="n"/>
      <c r="C178" s="1" t="n"/>
      <c r="D178" s="1" t="n"/>
      <c r="E178" s="1" t="n"/>
      <c r="F178" s="4" t="n"/>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22">
      <c r="A179" s="1" t="n"/>
      <c r="B179" s="1" t="n"/>
      <c r="C179" s="1" t="n"/>
      <c r="D179" s="1" t="n"/>
      <c r="E179" s="1" t="n"/>
      <c r="F179" s="4" t="n"/>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22">
      <c r="A180" s="1" t="n"/>
      <c r="B180" s="1" t="n"/>
      <c r="C180" s="1" t="n"/>
      <c r="D180" s="1" t="n"/>
      <c r="E180" s="1" t="n"/>
      <c r="F180" s="4" t="n"/>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22">
      <c r="A181" s="1" t="n"/>
      <c r="B181" s="1" t="n"/>
      <c r="C181" s="1" t="n"/>
      <c r="D181" s="1" t="n"/>
      <c r="E181" s="1" t="n"/>
      <c r="F181" s="4" t="n"/>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22">
      <c r="A182" s="1" t="n"/>
      <c r="B182" s="1" t="n"/>
      <c r="C182" s="1" t="n"/>
      <c r="D182" s="1" t="n"/>
      <c r="E182" s="1" t="n"/>
      <c r="F182" s="4" t="n"/>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22">
      <c r="A183" s="1" t="n"/>
      <c r="B183" s="1" t="n"/>
      <c r="C183" s="1" t="n"/>
      <c r="D183" s="1" t="n"/>
      <c r="E183" s="1" t="n"/>
      <c r="F183" s="4" t="n"/>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22">
      <c r="A184" s="1" t="n"/>
      <c r="B184" s="1" t="n"/>
      <c r="C184" s="1" t="n"/>
      <c r="D184" s="1" t="n"/>
      <c r="E184" s="1" t="n"/>
      <c r="F184" s="4" t="n"/>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22">
      <c r="A185" s="1" t="n"/>
      <c r="B185" s="1" t="n"/>
      <c r="C185" s="1" t="n"/>
      <c r="D185" s="1" t="n"/>
      <c r="E185" s="1" t="n"/>
      <c r="F185" s="4" t="n"/>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22">
      <c r="A186" s="1" t="n"/>
      <c r="B186" s="1" t="n"/>
      <c r="C186" s="1" t="n"/>
      <c r="D186" s="1" t="n"/>
      <c r="E186" s="1" t="n"/>
      <c r="F186" s="4" t="n"/>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22">
      <c r="A187" s="1" t="n"/>
      <c r="B187" s="1" t="n"/>
      <c r="C187" s="1" t="n"/>
      <c r="D187" s="1" t="n"/>
      <c r="E187" s="1" t="n"/>
      <c r="F187" s="4" t="n"/>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22">
      <c r="A188" s="1" t="n"/>
      <c r="B188" s="1" t="n"/>
      <c r="C188" s="1" t="n"/>
      <c r="D188" s="1" t="n"/>
      <c r="E188" s="1" t="n"/>
      <c r="F188" s="4" t="n"/>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22">
      <c r="A189" s="1" t="n"/>
      <c r="B189" s="1" t="n"/>
      <c r="C189" s="1" t="n"/>
      <c r="D189" s="1" t="n"/>
      <c r="E189" s="1" t="n"/>
      <c r="F189" s="4" t="n"/>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22">
      <c r="A190" s="1" t="n"/>
      <c r="B190" s="1" t="n"/>
      <c r="C190" s="1" t="n"/>
      <c r="D190" s="1" t="n"/>
      <c r="E190" s="1" t="n"/>
      <c r="F190" s="4" t="n"/>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22">
      <c r="A191" s="1" t="n"/>
      <c r="B191" s="1" t="n"/>
      <c r="C191" s="1" t="n"/>
      <c r="D191" s="1" t="n"/>
      <c r="E191" s="1" t="n"/>
      <c r="F191" s="4" t="n"/>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22">
      <c r="A192" s="1" t="n"/>
      <c r="B192" s="1" t="n"/>
      <c r="C192" s="1" t="n"/>
      <c r="D192" s="1" t="n"/>
      <c r="E192" s="1" t="n"/>
      <c r="F192" s="4" t="n"/>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22">
      <c r="A193" s="1" t="n"/>
      <c r="B193" s="1" t="n"/>
      <c r="C193" s="1" t="n"/>
      <c r="D193" s="1" t="n"/>
      <c r="E193" s="1" t="n"/>
      <c r="F193" s="4" t="n"/>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22">
      <c r="A194" s="1" t="n"/>
      <c r="B194" s="1" t="n"/>
      <c r="C194" s="1" t="n"/>
      <c r="D194" s="1" t="n"/>
      <c r="E194" s="1" t="n"/>
      <c r="F194" s="4" t="n"/>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22">
      <c r="A195" s="1" t="n"/>
      <c r="B195" s="1" t="n"/>
      <c r="C195" s="1" t="n"/>
      <c r="D195" s="1" t="n"/>
      <c r="E195" s="1" t="n"/>
      <c r="F195" s="4" t="n"/>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22">
      <c r="A196" s="1" t="n"/>
      <c r="B196" s="1" t="n"/>
      <c r="C196" s="1" t="n"/>
      <c r="D196" s="1" t="n"/>
      <c r="E196" s="1" t="n"/>
      <c r="F196" s="4" t="n"/>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22">
      <c r="A197" s="1" t="n"/>
      <c r="B197" s="1" t="n"/>
      <c r="C197" s="1" t="n"/>
      <c r="D197" s="1" t="n"/>
      <c r="E197" s="1" t="n"/>
      <c r="F197" s="4" t="n"/>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22">
      <c r="A198" s="1" t="n"/>
      <c r="B198" s="1" t="n"/>
      <c r="C198" s="1" t="n"/>
      <c r="D198" s="1" t="n"/>
      <c r="E198" s="1" t="n"/>
      <c r="F198" s="4" t="n"/>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22">
      <c r="A199" s="1" t="n"/>
      <c r="B199" s="1" t="n"/>
      <c r="C199" s="1" t="n"/>
      <c r="D199" s="1" t="n"/>
      <c r="E199" s="1" t="n"/>
      <c r="F199" s="4" t="n"/>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22">
      <c r="A200" s="1" t="n"/>
      <c r="B200" s="1" t="n"/>
      <c r="C200" s="1" t="n"/>
      <c r="D200" s="1" t="n"/>
      <c r="E200" s="1" t="n"/>
      <c r="F200" s="4" t="n"/>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22">
      <c r="A201" s="1" t="n"/>
      <c r="B201" s="1" t="n"/>
      <c r="C201" s="1" t="n"/>
      <c r="D201" s="1" t="n"/>
      <c r="E201" s="1" t="n"/>
      <c r="F201" s="4" t="n"/>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22">
      <c r="A202" s="1" t="n"/>
      <c r="B202" s="1" t="n"/>
      <c r="C202" s="1" t="n"/>
      <c r="D202" s="1" t="n"/>
      <c r="E202" s="1" t="n"/>
      <c r="F202" s="4" t="n"/>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22">
      <c r="A203" s="1" t="n"/>
      <c r="B203" s="1" t="n"/>
      <c r="C203" s="1" t="n"/>
      <c r="D203" s="1" t="n"/>
      <c r="E203" s="1" t="n"/>
      <c r="F203" s="4" t="n"/>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22">
      <c r="A204" s="1" t="n"/>
      <c r="B204" s="1" t="n"/>
      <c r="C204" s="1" t="n"/>
      <c r="D204" s="1" t="n"/>
      <c r="E204" s="1" t="n"/>
      <c r="F204" s="4" t="n"/>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22">
      <c r="A205" s="1" t="n"/>
      <c r="B205" s="1" t="n"/>
      <c r="C205" s="1" t="n"/>
      <c r="D205" s="1" t="n"/>
      <c r="E205" s="1" t="n"/>
      <c r="F205" s="4" t="n"/>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22">
      <c r="A206" s="1" t="n"/>
      <c r="B206" s="1" t="n"/>
      <c r="C206" s="1" t="n"/>
      <c r="D206" s="1" t="n"/>
      <c r="E206" s="1" t="n"/>
      <c r="F206" s="4" t="n"/>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22">
      <c r="A207" s="1" t="n"/>
      <c r="B207" s="1" t="n"/>
      <c r="C207" s="1" t="n"/>
      <c r="D207" s="1" t="n"/>
      <c r="E207" s="1" t="n"/>
      <c r="F207" s="4" t="n"/>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22">
      <c r="A208" s="1" t="n"/>
      <c r="B208" s="1" t="n"/>
      <c r="C208" s="1" t="n"/>
      <c r="D208" s="1" t="n"/>
      <c r="E208" s="1" t="n"/>
      <c r="F208" s="4" t="n"/>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22">
      <c r="A209" s="1" t="n"/>
      <c r="B209" s="1" t="n"/>
      <c r="C209" s="1" t="n"/>
      <c r="D209" s="1" t="n"/>
      <c r="E209" s="1" t="n"/>
      <c r="F209" s="4" t="n"/>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22">
      <c r="A210" s="1" t="n"/>
      <c r="B210" s="1" t="n"/>
      <c r="C210" s="1" t="n"/>
      <c r="D210" s="1" t="n"/>
      <c r="E210" s="1" t="n"/>
      <c r="F210" s="4" t="n"/>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22">
      <c r="A211" s="1" t="n"/>
      <c r="B211" s="1" t="n"/>
      <c r="C211" s="1" t="n"/>
      <c r="D211" s="1" t="n"/>
      <c r="E211" s="1" t="n"/>
      <c r="F211" s="4" t="n"/>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22">
      <c r="A212" s="1" t="n"/>
      <c r="B212" s="1" t="n"/>
      <c r="C212" s="1" t="n"/>
      <c r="D212" s="1" t="n"/>
      <c r="E212" s="1" t="n"/>
      <c r="F212" s="4" t="n"/>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22">
      <c r="A213" s="1" t="n"/>
      <c r="B213" s="1" t="n"/>
      <c r="C213" s="1" t="n"/>
      <c r="D213" s="1" t="n"/>
      <c r="E213" s="1" t="n"/>
      <c r="F213" s="4" t="n"/>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22">
      <c r="A214" s="1" t="n"/>
      <c r="B214" s="1" t="n"/>
      <c r="C214" s="1" t="n"/>
      <c r="D214" s="1" t="n"/>
      <c r="E214" s="1" t="n"/>
      <c r="F214" s="4" t="n"/>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22">
      <c r="A215" s="1" t="n"/>
      <c r="B215" s="1" t="n"/>
      <c r="C215" s="1" t="n"/>
      <c r="D215" s="1" t="n"/>
      <c r="E215" s="1" t="n"/>
      <c r="F215" s="4" t="n"/>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22">
      <c r="A216" s="1" t="n"/>
      <c r="B216" s="1" t="n"/>
      <c r="C216" s="1" t="n"/>
      <c r="D216" s="1" t="n"/>
      <c r="E216" s="1" t="n"/>
      <c r="F216" s="4" t="n"/>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22">
      <c r="A217" s="1" t="n"/>
      <c r="B217" s="1" t="n"/>
      <c r="C217" s="1" t="n"/>
      <c r="D217" s="1" t="n"/>
      <c r="E217" s="1" t="n"/>
      <c r="F217" s="4" t="n"/>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22">
      <c r="A218" s="1" t="n"/>
      <c r="B218" s="1" t="n"/>
      <c r="C218" s="1" t="n"/>
      <c r="D218" s="1" t="n"/>
      <c r="E218" s="1" t="n"/>
      <c r="F218" s="4" t="n"/>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22">
      <c r="A219" s="1" t="n"/>
      <c r="B219" s="1" t="n"/>
      <c r="C219" s="1" t="n"/>
      <c r="D219" s="1" t="n"/>
      <c r="E219" s="1" t="n"/>
      <c r="F219" s="4" t="n"/>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22">
      <c r="A220" s="1" t="n"/>
      <c r="B220" s="1" t="n"/>
      <c r="C220" s="1" t="n"/>
      <c r="D220" s="1" t="n"/>
      <c r="E220" s="1" t="n"/>
      <c r="F220" s="4" t="n"/>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22">
      <c r="A221" s="1" t="n"/>
      <c r="B221" s="1" t="n"/>
      <c r="C221" s="1" t="n"/>
      <c r="D221" s="1" t="n"/>
      <c r="E221" s="1" t="n"/>
      <c r="F221" s="4" t="n"/>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22">
      <c r="A222" s="1" t="n"/>
      <c r="B222" s="1" t="n"/>
      <c r="C222" s="1" t="n"/>
      <c r="D222" s="1" t="n"/>
      <c r="E222" s="1" t="n"/>
      <c r="F222" s="4" t="n"/>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22">
      <c r="A223" s="1" t="n"/>
      <c r="B223" s="1" t="n"/>
      <c r="C223" s="1" t="n"/>
      <c r="D223" s="1" t="n"/>
      <c r="E223" s="1" t="n"/>
      <c r="F223" s="4" t="n"/>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22">
      <c r="A224" s="1" t="n"/>
      <c r="B224" s="1" t="n"/>
      <c r="C224" s="1" t="n"/>
      <c r="D224" s="1" t="n"/>
      <c r="E224" s="1" t="n"/>
      <c r="F224" s="4" t="n"/>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22">
      <c r="A225" s="1" t="n"/>
      <c r="B225" s="1" t="n"/>
      <c r="C225" s="1" t="n"/>
      <c r="D225" s="1" t="n"/>
      <c r="E225" s="1" t="n"/>
      <c r="F225" s="4" t="n"/>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22">
      <c r="A226" s="1" t="n"/>
      <c r="B226" s="1" t="n"/>
      <c r="C226" s="1" t="n"/>
      <c r="D226" s="1" t="n"/>
      <c r="E226" s="1"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22">
      <c r="A227" s="1" t="n"/>
      <c r="B227" s="1" t="n"/>
      <c r="C227" s="1" t="n"/>
      <c r="D227" s="1" t="n"/>
      <c r="E227" s="1" t="n"/>
      <c r="F227" s="4" t="n"/>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22">
      <c r="A228" s="1" t="n"/>
      <c r="B228" s="1" t="n"/>
      <c r="C228" s="1" t="n"/>
      <c r="D228" s="1" t="n"/>
      <c r="E228" s="1" t="n"/>
      <c r="F228" s="4" t="n"/>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22">
      <c r="A229" s="1" t="n"/>
      <c r="B229" s="1" t="n"/>
      <c r="C229" s="1" t="n"/>
      <c r="D229" s="1" t="n"/>
      <c r="E229" s="1"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22">
      <c r="A230" s="1" t="n"/>
      <c r="B230" s="1" t="n"/>
      <c r="C230" s="1" t="n"/>
      <c r="D230" s="1" t="n"/>
      <c r="E230" s="1"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22">
      <c r="A231" s="1" t="n"/>
      <c r="B231" s="1" t="n"/>
      <c r="C231" s="1" t="n"/>
      <c r="D231" s="1" t="n"/>
      <c r="E231" s="1"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22">
      <c r="A232" s="1" t="n"/>
      <c r="B232" s="1" t="n"/>
      <c r="C232" s="1" t="n"/>
      <c r="D232" s="1" t="n"/>
      <c r="E232" s="1"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22">
      <c r="A233" s="1" t="n"/>
      <c r="B233" s="1" t="n"/>
      <c r="C233" s="1" t="n"/>
      <c r="D233" s="1" t="n"/>
      <c r="E233" s="1"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22">
      <c r="A234" s="1" t="n"/>
      <c r="B234" s="1" t="n"/>
      <c r="C234" s="1" t="n"/>
      <c r="D234" s="1" t="n"/>
      <c r="E234" s="1" t="n"/>
      <c r="F234" s="4" t="n"/>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22">
      <c r="A235" s="1" t="n"/>
      <c r="B235" s="1" t="n"/>
      <c r="C235" s="1" t="n"/>
      <c r="D235" s="1" t="n"/>
      <c r="E235" s="1" t="n"/>
      <c r="F235" s="4" t="n"/>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22">
      <c r="A236" s="1" t="n"/>
      <c r="B236" s="1" t="n"/>
      <c r="C236" s="1" t="n"/>
      <c r="D236" s="1" t="n"/>
      <c r="E236" s="1" t="n"/>
      <c r="F236" s="4" t="n"/>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22">
      <c r="A237" s="1" t="n"/>
      <c r="B237" s="1" t="n"/>
      <c r="C237" s="1" t="n"/>
      <c r="D237" s="1" t="n"/>
      <c r="E237" s="1" t="n"/>
      <c r="F237" s="4" t="n"/>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22">
      <c r="A238" s="1" t="n"/>
      <c r="B238" s="1" t="n"/>
      <c r="C238" s="1" t="n"/>
      <c r="D238" s="1" t="n"/>
      <c r="E238" s="1" t="n"/>
      <c r="F238" s="4" t="n"/>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22">
      <c r="A239" s="1" t="n"/>
      <c r="B239" s="1" t="n"/>
      <c r="C239" s="1" t="n"/>
      <c r="D239" s="1" t="n"/>
      <c r="E239" s="1" t="n"/>
      <c r="F239" s="4" t="n"/>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22">
      <c r="A240" s="1" t="n"/>
      <c r="B240" s="1" t="n"/>
      <c r="C240" s="1" t="n"/>
      <c r="D240" s="1" t="n"/>
      <c r="E240" s="1" t="n"/>
      <c r="F240" s="4" t="n"/>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22">
      <c r="A241" s="1" t="n"/>
      <c r="B241" s="1" t="n"/>
      <c r="C241" s="1" t="n"/>
      <c r="D241" s="1" t="n"/>
      <c r="E241" s="1" t="n"/>
      <c r="F241" s="4" t="n"/>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22">
      <c r="A242" s="1" t="n"/>
      <c r="B242" s="1" t="n"/>
      <c r="C242" s="1" t="n"/>
      <c r="D242" s="1" t="n"/>
      <c r="E242" s="1" t="n"/>
      <c r="F242" s="4" t="n"/>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22">
      <c r="A243" s="1" t="n"/>
      <c r="B243" s="1" t="n"/>
      <c r="C243" s="1" t="n"/>
      <c r="D243" s="1" t="n"/>
      <c r="E243" s="1"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22">
      <c r="A244" s="1" t="n"/>
      <c r="B244" s="1" t="n"/>
      <c r="C244" s="1" t="n"/>
      <c r="D244" s="1" t="n"/>
      <c r="E244" s="1"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22">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22">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22">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22">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22">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22">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22">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22">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22">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22">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22">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22">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22">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22">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22">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22">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22">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22">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22">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22">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22">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22">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22">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22">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22">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22">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22">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22">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22">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22">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22">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22">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22">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22">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22">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22">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22">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22">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22">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22">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22">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22">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22">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22">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22">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22">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22">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22">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22">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22">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22">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22">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22">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22">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22">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22">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22">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22">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22">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22">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22">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22">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22">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22">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22">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22">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22">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22">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22">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22">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22">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22">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22">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22">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22">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22">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22">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22">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22">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22">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22">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22">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22">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22">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22">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22">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22">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22">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22">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22">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22">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22">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22">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22">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22">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22">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22">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22">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22">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22">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22">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22">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22">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22">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22">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22">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22">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22">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22">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22">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22">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22">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22">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22">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22">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22">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22">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22">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22">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22">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22">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22">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22">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22">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22">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22">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22">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22">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22">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22">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22">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22">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22">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22">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22">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22">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22">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22">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22">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22">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22">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22">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22">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22">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22">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22">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22">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22">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22">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22">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22">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22">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22">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22">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22">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22">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22">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22">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22">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22">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22">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22">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22">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22">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22">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22">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22">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22">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22">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22">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22">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22">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22">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22">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22">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22">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22">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22">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22">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22">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22">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22">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22">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22">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22">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22">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22">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22">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22">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22">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22">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22">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22">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22">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22">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22">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22">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22">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22">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22">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22">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22">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22">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22">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22">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22">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22">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22">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22">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22">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22">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22">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22">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22">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22">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22">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22">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22">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22">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22">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22">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22">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22">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22">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22">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22">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22">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22">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22">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22">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22">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22">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22">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22">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22">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22">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22">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22">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22">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22">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22">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22">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22">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22">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22">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22">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22">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22">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22">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22">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22">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22">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22">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22">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22">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22">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22">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22">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22">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22">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22">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22">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22">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22">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22">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22">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22">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22">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22">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22">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22">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22">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22">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22">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22">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22">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22">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22">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22">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22">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22">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22">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22">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22">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22">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22">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22">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22">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22">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22">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22">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22">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22">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22">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22">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22">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22">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22">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22">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22">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22">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22">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22">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22">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22">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22">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22">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22">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22">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22">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22">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22">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22">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22">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22">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22">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22">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22">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22">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22">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22">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22">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22">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22">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22">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22">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22">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22">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22">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22">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22">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22">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22">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22">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22">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22">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22">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22">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22">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22">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22">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22">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22">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22">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22">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22">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22">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22">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22">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22">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22">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22">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22">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22">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22">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22">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22">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22">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22">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22">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22">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22">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22">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22">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22">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22">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22">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22">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22">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22">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22">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22">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22">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22">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22">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22">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22">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22">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22">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22">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22">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22">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22">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22">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22">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22">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22">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22">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22">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22">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22">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22">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22">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22">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22">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22">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22">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22">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22">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22">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22">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22">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22">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22">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22">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22">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22">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22">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22">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22">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22">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22">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22">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22">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22">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22">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22">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22">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22">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22">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22">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22">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22">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22">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22">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22">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22">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22">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22">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22">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22">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22">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22">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22">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22">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22">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22">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22">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22">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22">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22">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22">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22">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22">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22">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22">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22">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22">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22">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22">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22">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22">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22">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22">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22">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22">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22">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22">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22">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22">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22">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22">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22">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22">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22">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22">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22">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22">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22">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22">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22">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22">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22">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22">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22">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22">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22">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22">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22">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22">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22">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22">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22">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22">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22">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22">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22">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22">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22">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22">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22">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22">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22">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22">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22">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22">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22">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22">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22">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22">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22">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22">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22">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22">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22">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22">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22">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22">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22">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22">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22">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22">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22">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22">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22">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22">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22">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22">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22">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22">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22">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22">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22">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22">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22">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22">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22">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22">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22">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22">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22">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22">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22">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22">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22">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22">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22">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22">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22">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22">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22">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22">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22">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22">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22">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22">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22">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22">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22">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22">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22">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22">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22">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22">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22">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22">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22">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22">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22">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22">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22">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22">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22">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22">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22">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22">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22">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22">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22">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22">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22">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22">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22">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22">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22">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22">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22">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22">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22">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22">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22">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22">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22">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22">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22">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22">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22">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22">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22">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22">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22">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22">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22">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22">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22">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22">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22">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22">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22">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22">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22">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22">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22">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22">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22">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22">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22">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22">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22">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22">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22">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22">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22">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22">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22">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22">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22">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22">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22">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22">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22">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22">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22">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22">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22">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22">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22">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22">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22">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22">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22">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22">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22">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22">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22">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22">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22">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22">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22">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22">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22">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22">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22">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22">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22">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22">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22">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22">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22">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22">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22">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22">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22">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22">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22">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22">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22">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22">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22">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22">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22">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22">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22">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22">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22">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22">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22">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22">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22">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22">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22">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22">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22">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22">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22">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22">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22">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22">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22">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22">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22">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22">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22">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22">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22">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22">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22">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22">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22">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22">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22">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22">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22">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22">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22">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22">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22">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22">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22">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22">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22">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22">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22">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22">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22">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22">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22">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22">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22">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22">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22">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22">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22">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22">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22">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22">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22">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22">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22">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22">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22">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22">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22">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22">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22">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22">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22">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22">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22">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22">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22">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22">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22">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22">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22">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22">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22">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22">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22">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22">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22">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22">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22">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22">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22">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22">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22">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22">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22">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22">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22">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22">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22">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22">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22">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22">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sheetData>
  <mergeCells count="7">
    <mergeCell ref="B9:E9"/>
    <mergeCell ref="B8:E8"/>
    <mergeCell ref="B43:E43"/>
    <mergeCell ref="B6:E6"/>
    <mergeCell ref="B44:E44"/>
    <mergeCell ref="B7:E7"/>
    <mergeCell ref="B5:E5"/>
  </mergeCells>
  <pageMargins left="0.75" right="0.75" top="1" bottom="1" header="0" footer="0"/>
  <pageSetup orientation="landscape" paperSize="9" fitToHeight="0"/>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Z1000"/>
  <sheetViews>
    <sheetView workbookViewId="0">
      <pane ySplit="4" topLeftCell="A5" activePane="bottomLeft" state="frozen"/>
      <selection pane="bottomLeft" activeCell="B6" sqref="B6"/>
    </sheetView>
  </sheetViews>
  <sheetFormatPr baseColWidth="8" defaultColWidth="14.43" defaultRowHeight="15" customHeight="1"/>
  <cols>
    <col width="10" customWidth="1" style="22" min="1" max="1"/>
    <col width="52" customWidth="1" style="22" min="2" max="2"/>
    <col width="12" customWidth="1" style="22" min="3" max="3"/>
    <col width="22" customWidth="1" style="22" min="4" max="4"/>
    <col width="22.71" customWidth="1" style="22" min="5" max="5"/>
    <col width="8.710000000000001" customWidth="1" style="22" min="6" max="7"/>
  </cols>
  <sheetData>
    <row r="1" ht="24" customHeight="1" s="22">
      <c r="A1" s="1" t="n"/>
      <c r="B1" s="1" t="n"/>
      <c r="C1" s="2" t="inlineStr">
        <is>
          <t>Plan de la iteración 4</t>
        </is>
      </c>
      <c r="D1" s="3" t="n"/>
      <c r="E1" s="3" t="n"/>
      <c r="F1" s="3" t="n"/>
      <c r="G1" s="3" t="n"/>
      <c r="H1" s="4" t="n"/>
      <c r="I1" s="4" t="n"/>
      <c r="J1" s="4" t="n"/>
      <c r="K1" s="4" t="n"/>
      <c r="L1" s="4" t="n"/>
      <c r="M1" s="4" t="n"/>
      <c r="N1" s="4" t="n"/>
      <c r="O1" s="4" t="n"/>
      <c r="P1" s="4" t="n"/>
      <c r="Q1" s="4" t="n"/>
      <c r="R1" s="4" t="n"/>
      <c r="S1" s="4" t="n"/>
      <c r="T1" s="4" t="n"/>
      <c r="U1" s="4" t="n"/>
      <c r="V1" s="4" t="n"/>
      <c r="W1" s="4" t="n"/>
      <c r="X1" s="4" t="n"/>
      <c r="Y1" s="4" t="n"/>
      <c r="Z1" s="4" t="n"/>
    </row>
    <row r="2" ht="15" customHeight="1" s="22">
      <c r="A2" s="1" t="n"/>
      <c r="B2" s="1" t="n"/>
      <c r="C2" s="5" t="inlineStr">
        <is>
          <t>App móvil Aprueba - Módulo de Preguntas · Grupo 9 · PTY4614 Capstone, sección 002D</t>
        </is>
      </c>
      <c r="D2" s="3" t="n"/>
      <c r="E2" s="3" t="n"/>
      <c r="F2" s="3" t="n"/>
      <c r="G2" s="3" t="n"/>
      <c r="H2" s="4" t="n"/>
      <c r="I2" s="4" t="n"/>
      <c r="J2" s="4" t="n"/>
      <c r="K2" s="4" t="n"/>
      <c r="L2" s="4" t="n"/>
      <c r="M2" s="4" t="n"/>
      <c r="N2" s="4" t="n"/>
      <c r="O2" s="4" t="n"/>
      <c r="P2" s="4" t="n"/>
      <c r="Q2" s="4" t="n"/>
      <c r="R2" s="4" t="n"/>
      <c r="S2" s="4" t="n"/>
      <c r="T2" s="4" t="n"/>
      <c r="U2" s="4" t="n"/>
      <c r="V2" s="4" t="n"/>
      <c r="W2" s="4" t="n"/>
      <c r="X2" s="4" t="n"/>
      <c r="Y2" s="4" t="n"/>
      <c r="Z2" s="4" t="n"/>
    </row>
    <row r="3" ht="15" customHeight="1" s="22">
      <c r="A3" s="1" t="n"/>
      <c r="B3" s="1" t="n"/>
      <c r="C3" s="5" t="inlineStr">
        <is>
          <t>Metodología: Extreme Programming · Versión 1.8 · 18 de octubre de 2026</t>
        </is>
      </c>
      <c r="D3" s="3" t="n"/>
      <c r="E3" s="3" t="n"/>
      <c r="F3" s="3" t="n"/>
      <c r="G3" s="3" t="n"/>
      <c r="H3" s="4" t="n"/>
      <c r="I3" s="4" t="n"/>
      <c r="J3" s="4" t="n"/>
      <c r="K3" s="4" t="n"/>
      <c r="L3" s="4" t="n"/>
      <c r="M3" s="4" t="n"/>
      <c r="N3" s="4" t="n"/>
      <c r="O3" s="4" t="n"/>
      <c r="P3" s="4" t="n"/>
      <c r="Q3" s="4" t="n"/>
      <c r="R3" s="4" t="n"/>
      <c r="S3" s="4" t="n"/>
      <c r="T3" s="4" t="n"/>
      <c r="U3" s="4" t="n"/>
      <c r="V3" s="4" t="n"/>
      <c r="W3" s="4" t="n"/>
      <c r="X3" s="4" t="n"/>
      <c r="Y3" s="4" t="n"/>
      <c r="Z3" s="4" t="n"/>
    </row>
    <row r="4" ht="15" customHeight="1" s="22">
      <c r="A4" s="1" t="n"/>
      <c r="B4" s="1" t="n"/>
      <c r="C4" s="7" t="n"/>
      <c r="D4" s="1" t="n"/>
      <c r="E4" s="1" t="n"/>
      <c r="F4" s="4" t="n"/>
      <c r="G4" s="4" t="n"/>
      <c r="H4" s="4" t="n"/>
      <c r="I4" s="4" t="n"/>
      <c r="J4" s="4" t="n"/>
      <c r="K4" s="4" t="n"/>
      <c r="L4" s="4" t="n"/>
      <c r="M4" s="4" t="n"/>
      <c r="N4" s="4" t="n"/>
      <c r="O4" s="4" t="n"/>
      <c r="P4" s="4" t="n"/>
      <c r="Q4" s="4" t="n"/>
      <c r="R4" s="4" t="n"/>
      <c r="S4" s="4" t="n"/>
      <c r="T4" s="4" t="n"/>
      <c r="U4" s="4" t="n"/>
      <c r="V4" s="4" t="n"/>
      <c r="W4" s="4" t="n"/>
      <c r="X4" s="4" t="n"/>
      <c r="Y4" s="4" t="n"/>
      <c r="Z4" s="4" t="n"/>
    </row>
    <row r="5" ht="15" customHeight="1" s="22">
      <c r="A5" s="9" t="inlineStr">
        <is>
          <t>Semana</t>
        </is>
      </c>
      <c r="B5" s="12" t="inlineStr">
        <is>
          <t>Semana 8</t>
        </is>
      </c>
      <c r="C5" s="23" t="n"/>
      <c r="D5" s="23" t="n"/>
      <c r="E5" s="24" t="n"/>
      <c r="F5" s="4" t="n"/>
      <c r="G5" s="4" t="n"/>
      <c r="H5" s="4" t="n"/>
      <c r="I5" s="4" t="n"/>
      <c r="J5" s="4" t="n"/>
      <c r="K5" s="4" t="n"/>
      <c r="L5" s="4" t="n"/>
      <c r="M5" s="4" t="n"/>
      <c r="N5" s="4" t="n"/>
      <c r="O5" s="4" t="n"/>
      <c r="P5" s="4" t="n"/>
      <c r="Q5" s="4" t="n"/>
      <c r="R5" s="4" t="n"/>
      <c r="S5" s="4" t="n"/>
      <c r="T5" s="4" t="n"/>
      <c r="U5" s="4" t="n"/>
      <c r="V5" s="4" t="n"/>
      <c r="W5" s="4" t="n"/>
      <c r="X5" s="4" t="n"/>
      <c r="Y5" s="4" t="n"/>
      <c r="Z5" s="4" t="n"/>
    </row>
    <row r="6" ht="15" customHeight="1" s="22">
      <c r="A6" s="9" t="inlineStr">
        <is>
          <t>Fechas</t>
        </is>
      </c>
      <c r="B6" s="12" t="inlineStr">
        <is>
          <t>28/09 al 03/10/2026 · aceptación el 05/10/2026</t>
        </is>
      </c>
      <c r="C6" s="23" t="n"/>
      <c r="D6" s="23" t="n"/>
      <c r="E6" s="24" t="n"/>
      <c r="F6" s="4" t="n"/>
      <c r="G6" s="4" t="n"/>
      <c r="H6" s="4" t="n"/>
      <c r="I6" s="4" t="n"/>
      <c r="J6" s="4" t="n"/>
      <c r="K6" s="4" t="n"/>
      <c r="L6" s="4" t="n"/>
      <c r="M6" s="4" t="n"/>
      <c r="N6" s="4" t="n"/>
      <c r="O6" s="4" t="n"/>
      <c r="P6" s="4" t="n"/>
      <c r="Q6" s="4" t="n"/>
      <c r="R6" s="4" t="n"/>
      <c r="S6" s="4" t="n"/>
      <c r="T6" s="4" t="n"/>
      <c r="U6" s="4" t="n"/>
      <c r="V6" s="4" t="n"/>
      <c r="W6" s="4" t="n"/>
      <c r="X6" s="4" t="n"/>
      <c r="Y6" s="4" t="n"/>
      <c r="Z6" s="4" t="n"/>
    </row>
    <row r="7" ht="23.25" customHeight="1" s="22">
      <c r="A7" s="9" t="inlineStr">
        <is>
          <t>Entrega funcional</t>
        </is>
      </c>
      <c r="B7" s="12" t="inlineStr">
        <is>
          <t>Entrega 2</t>
        </is>
      </c>
      <c r="C7" s="23" t="n"/>
      <c r="D7" s="23" t="n"/>
      <c r="E7" s="24" t="n"/>
      <c r="F7" s="4" t="n"/>
      <c r="G7" s="4" t="n"/>
      <c r="H7" s="4" t="n"/>
      <c r="I7" s="4" t="n"/>
      <c r="J7" s="4" t="n"/>
      <c r="K7" s="4" t="n"/>
      <c r="L7" s="4" t="n"/>
      <c r="M7" s="4" t="n"/>
      <c r="N7" s="4" t="n"/>
      <c r="O7" s="4" t="n"/>
      <c r="P7" s="4" t="n"/>
      <c r="Q7" s="4" t="n"/>
      <c r="R7" s="4" t="n"/>
      <c r="S7" s="4" t="n"/>
      <c r="T7" s="4" t="n"/>
      <c r="U7" s="4" t="n"/>
      <c r="V7" s="4" t="n"/>
      <c r="W7" s="4" t="n"/>
      <c r="X7" s="4" t="n"/>
      <c r="Y7" s="4" t="n"/>
      <c r="Z7" s="4" t="n"/>
    </row>
    <row r="8" ht="15" customHeight="1" s="22">
      <c r="A8" s="9" t="inlineStr">
        <is>
          <t>Estado</t>
        </is>
      </c>
      <c r="B8" s="12" t="inlineStr">
        <is>
          <t>Cerrada</t>
        </is>
      </c>
      <c r="C8" s="23" t="n"/>
      <c r="D8" s="23" t="n"/>
      <c r="E8" s="24" t="n"/>
      <c r="F8" s="4" t="n"/>
      <c r="G8" s="4" t="n"/>
      <c r="H8" s="4" t="n"/>
      <c r="I8" s="4" t="n"/>
      <c r="J8" s="4" t="n"/>
      <c r="K8" s="4" t="n"/>
      <c r="L8" s="4" t="n"/>
      <c r="M8" s="4" t="n"/>
      <c r="N8" s="4" t="n"/>
      <c r="O8" s="4" t="n"/>
      <c r="P8" s="4" t="n"/>
      <c r="Q8" s="4" t="n"/>
      <c r="R8" s="4" t="n"/>
      <c r="S8" s="4" t="n"/>
      <c r="T8" s="4" t="n"/>
      <c r="U8" s="4" t="n"/>
      <c r="V8" s="4" t="n"/>
      <c r="W8" s="4" t="n"/>
      <c r="X8" s="4" t="n"/>
      <c r="Y8" s="4" t="n"/>
      <c r="Z8" s="4" t="n"/>
    </row>
    <row r="9" ht="30" customHeight="1" s="22">
      <c r="A9" s="9" t="inlineStr">
        <is>
          <t>Objetivo</t>
        </is>
      </c>
      <c r="B9" s="12" t="inlineStr">
        <is>
          <t>Completar el ciclo de respuesta: el estudiante responde, conoce su resultado con su percentil y practica según su formato; cerrar los hallazgos de la entrega 1 y adelantar los contenedores.</t>
        </is>
      </c>
      <c r="C9" s="23" t="n"/>
      <c r="D9" s="23" t="n"/>
      <c r="E9" s="24" t="n"/>
      <c r="F9" s="4" t="n"/>
      <c r="G9" s="4" t="n"/>
      <c r="H9" s="4" t="n"/>
      <c r="I9" s="4" t="n"/>
      <c r="J9" s="4" t="n"/>
      <c r="K9" s="4" t="n"/>
      <c r="L9" s="4" t="n"/>
      <c r="M9" s="4" t="n"/>
      <c r="N9" s="4" t="n"/>
      <c r="O9" s="4" t="n"/>
      <c r="P9" s="4" t="n"/>
      <c r="Q9" s="4" t="n"/>
      <c r="R9" s="4" t="n"/>
      <c r="S9" s="4" t="n"/>
      <c r="T9" s="4" t="n"/>
      <c r="U9" s="4" t="n"/>
      <c r="V9" s="4" t="n"/>
      <c r="W9" s="4" t="n"/>
      <c r="X9" s="4" t="n"/>
      <c r="Y9" s="4" t="n"/>
      <c r="Z9" s="4" t="n"/>
    </row>
    <row r="10">
      <c r="A10" s="1" t="n"/>
      <c r="B10" s="1" t="n"/>
      <c r="C10" s="1" t="n"/>
      <c r="D10" s="1" t="n"/>
      <c r="E10" s="1" t="n"/>
      <c r="F10" s="4" t="n"/>
      <c r="G10" s="4" t="n"/>
      <c r="H10" s="4" t="n"/>
      <c r="I10" s="4" t="n"/>
      <c r="J10" s="4" t="n"/>
      <c r="K10" s="4" t="n"/>
      <c r="L10" s="4" t="n"/>
      <c r="M10" s="4" t="n"/>
      <c r="N10" s="4" t="n"/>
      <c r="O10" s="4" t="n"/>
      <c r="P10" s="4" t="n"/>
      <c r="Q10" s="4" t="n"/>
      <c r="R10" s="4" t="n"/>
      <c r="S10" s="4" t="n"/>
      <c r="T10" s="4" t="n"/>
      <c r="U10" s="4" t="n"/>
      <c r="V10" s="4" t="n"/>
      <c r="W10" s="4" t="n"/>
      <c r="X10" s="4" t="n"/>
      <c r="Y10" s="4" t="n"/>
      <c r="Z10" s="4" t="n"/>
    </row>
    <row r="11" ht="15" customHeight="1" s="22">
      <c r="A11" s="16" t="inlineStr">
        <is>
          <t>Historias comprometidas</t>
        </is>
      </c>
      <c r="B11" s="1" t="n"/>
      <c r="C11" s="1" t="n"/>
      <c r="D11" s="1" t="n"/>
      <c r="E11" s="1" t="n"/>
      <c r="F11" s="4" t="n"/>
      <c r="G11" s="4" t="n"/>
      <c r="H11" s="4" t="n"/>
      <c r="I11" s="4" t="n"/>
      <c r="J11" s="4" t="n"/>
      <c r="K11" s="4" t="n"/>
      <c r="L11" s="4" t="n"/>
      <c r="M11" s="4" t="n"/>
      <c r="N11" s="4" t="n"/>
      <c r="O11" s="4" t="n"/>
      <c r="P11" s="4" t="n"/>
      <c r="Q11" s="4" t="n"/>
      <c r="R11" s="4" t="n"/>
      <c r="S11" s="4" t="n"/>
      <c r="T11" s="4" t="n"/>
      <c r="U11" s="4" t="n"/>
      <c r="V11" s="4" t="n"/>
      <c r="W11" s="4" t="n"/>
      <c r="X11" s="4" t="n"/>
      <c r="Y11" s="4" t="n"/>
      <c r="Z11" s="4" t="n"/>
    </row>
    <row r="12" ht="15" customHeight="1" s="22">
      <c r="A12" s="8" t="inlineStr">
        <is>
          <t>ID</t>
        </is>
      </c>
      <c r="B12" s="8" t="inlineStr">
        <is>
          <t>Historia</t>
        </is>
      </c>
      <c r="C12" s="8" t="inlineStr">
        <is>
          <t>Puntos</t>
        </is>
      </c>
      <c r="D12" s="8" t="inlineStr">
        <is>
          <t>Responsable</t>
        </is>
      </c>
      <c r="E12" s="8" t="inlineStr">
        <is>
          <t>Estado</t>
        </is>
      </c>
      <c r="F12" s="4" t="n"/>
      <c r="G12" s="4" t="n"/>
      <c r="H12" s="4" t="n"/>
      <c r="I12" s="4" t="n"/>
      <c r="J12" s="4" t="n"/>
      <c r="K12" s="4" t="n"/>
      <c r="L12" s="4" t="n"/>
      <c r="M12" s="4" t="n"/>
      <c r="N12" s="4" t="n"/>
      <c r="O12" s="4" t="n"/>
      <c r="P12" s="4" t="n"/>
      <c r="Q12" s="4" t="n"/>
      <c r="R12" s="4" t="n"/>
      <c r="S12" s="4" t="n"/>
      <c r="T12" s="4" t="n"/>
      <c r="U12" s="4" t="n"/>
      <c r="V12" s="4" t="n"/>
      <c r="W12" s="4" t="n"/>
      <c r="X12" s="4" t="n"/>
      <c r="Y12" s="4" t="n"/>
      <c r="Z12" s="4" t="n"/>
    </row>
    <row r="13" ht="15" customHeight="1" s="22">
      <c r="A13" s="15" t="inlineStr">
        <is>
          <t>HU-03</t>
        </is>
      </c>
      <c r="B13" s="12" t="inlineStr">
        <is>
          <t>Registro de la respuesta</t>
        </is>
      </c>
      <c r="C13" s="15" t="n">
        <v>5</v>
      </c>
      <c r="D13" s="12" t="inlineStr">
        <is>
          <t>Jeremías Fernández</t>
        </is>
      </c>
      <c r="E13" s="15" t="inlineStr">
        <is>
          <t>Hecho</t>
        </is>
      </c>
      <c r="F13" s="4" t="n"/>
      <c r="G13" s="4" t="n"/>
      <c r="H13" s="4" t="n"/>
      <c r="I13" s="4" t="n"/>
      <c r="J13" s="4" t="n"/>
      <c r="K13" s="4" t="n"/>
      <c r="L13" s="4" t="n"/>
      <c r="M13" s="4" t="n"/>
      <c r="N13" s="4" t="n"/>
      <c r="O13" s="4" t="n"/>
      <c r="P13" s="4" t="n"/>
      <c r="Q13" s="4" t="n"/>
      <c r="R13" s="4" t="n"/>
      <c r="S13" s="4" t="n"/>
      <c r="T13" s="4" t="n"/>
      <c r="U13" s="4" t="n"/>
      <c r="V13" s="4" t="n"/>
      <c r="W13" s="4" t="n"/>
      <c r="X13" s="4" t="n"/>
      <c r="Y13" s="4" t="n"/>
      <c r="Z13" s="4" t="n"/>
    </row>
    <row r="14" ht="15" customHeight="1" s="22">
      <c r="A14" s="15" t="inlineStr">
        <is>
          <t>HU-04</t>
        </is>
      </c>
      <c r="B14" s="12" t="inlineStr">
        <is>
          <t>Pantalla Resultado</t>
        </is>
      </c>
      <c r="C14" s="15" t="n">
        <v>3</v>
      </c>
      <c r="D14" s="12" t="inlineStr">
        <is>
          <t>Sebastián Acevedo</t>
        </is>
      </c>
      <c r="E14" s="15" t="inlineStr">
        <is>
          <t>Hecho</t>
        </is>
      </c>
      <c r="F14" s="4" t="n"/>
      <c r="G14" s="4" t="n"/>
      <c r="H14" s="4" t="n"/>
      <c r="I14" s="4" t="n"/>
      <c r="J14" s="4" t="n"/>
      <c r="K14" s="4" t="n"/>
      <c r="L14" s="4" t="n"/>
      <c r="M14" s="4" t="n"/>
      <c r="N14" s="4" t="n"/>
      <c r="O14" s="4" t="n"/>
      <c r="P14" s="4" t="n"/>
      <c r="Q14" s="4" t="n"/>
      <c r="R14" s="4" t="n"/>
      <c r="S14" s="4" t="n"/>
      <c r="T14" s="4" t="n"/>
      <c r="U14" s="4" t="n"/>
      <c r="V14" s="4" t="n"/>
      <c r="W14" s="4" t="n"/>
      <c r="X14" s="4" t="n"/>
      <c r="Y14" s="4" t="n"/>
      <c r="Z14" s="4" t="n"/>
    </row>
    <row r="15" ht="15" customHeight="1" s="22">
      <c r="A15" s="15" t="inlineStr">
        <is>
          <t>HT-04</t>
        </is>
      </c>
      <c r="B15" s="12" t="inlineStr">
        <is>
          <t>Percentil de cohorte precalculado</t>
        </is>
      </c>
      <c r="C15" s="15" t="n">
        <v>3</v>
      </c>
      <c r="D15" s="12" t="inlineStr">
        <is>
          <t>Jeremías Fernández</t>
        </is>
      </c>
      <c r="E15" s="15" t="inlineStr">
        <is>
          <t>Hecho</t>
        </is>
      </c>
      <c r="F15" s="4" t="n"/>
      <c r="G15" s="4" t="n"/>
      <c r="H15" s="4" t="n"/>
      <c r="I15" s="4" t="n"/>
      <c r="J15" s="4" t="n"/>
      <c r="K15" s="4" t="n"/>
      <c r="L15" s="4" t="n"/>
      <c r="M15" s="4" t="n"/>
      <c r="N15" s="4" t="n"/>
      <c r="O15" s="4" t="n"/>
      <c r="P15" s="4" t="n"/>
      <c r="Q15" s="4" t="n"/>
      <c r="R15" s="4" t="n"/>
      <c r="S15" s="4" t="n"/>
      <c r="T15" s="4" t="n"/>
      <c r="U15" s="4" t="n"/>
      <c r="V15" s="4" t="n"/>
      <c r="W15" s="4" t="n"/>
      <c r="X15" s="4" t="n"/>
      <c r="Y15" s="4" t="n"/>
      <c r="Z15" s="4" t="n"/>
    </row>
    <row r="16" ht="15" customHeight="1" s="22">
      <c r="A16" s="15" t="inlineStr">
        <is>
          <t>HU-12</t>
        </is>
      </c>
      <c r="B16" s="12" t="inlineStr">
        <is>
          <t>Formato y dificultad (orden del facsímil)</t>
        </is>
      </c>
      <c r="C16" s="15" t="n">
        <v>3</v>
      </c>
      <c r="D16" s="12" t="inlineStr">
        <is>
          <t>Jeremías Fernández</t>
        </is>
      </c>
      <c r="E16" s="15" t="inlineStr">
        <is>
          <t>Pasa a la iteración 5</t>
        </is>
      </c>
      <c r="F16" s="4" t="n"/>
      <c r="G16" s="4" t="n"/>
      <c r="H16" s="4" t="n"/>
      <c r="I16" s="4" t="n"/>
      <c r="J16" s="4" t="n"/>
      <c r="K16" s="4" t="n"/>
      <c r="L16" s="4" t="n"/>
      <c r="M16" s="4" t="n"/>
      <c r="N16" s="4" t="n"/>
      <c r="O16" s="4" t="n"/>
      <c r="P16" s="4" t="n"/>
      <c r="Q16" s="4" t="n"/>
      <c r="R16" s="4" t="n"/>
      <c r="S16" s="4" t="n"/>
      <c r="T16" s="4" t="n"/>
      <c r="U16" s="4" t="n"/>
      <c r="V16" s="4" t="n"/>
      <c r="W16" s="4" t="n"/>
      <c r="X16" s="4" t="n"/>
      <c r="Y16" s="4" t="n"/>
      <c r="Z16" s="4" t="n"/>
    </row>
    <row r="17" ht="15" customHeight="1" s="22">
      <c r="A17" s="15" t="inlineStr">
        <is>
          <t>HT-06</t>
        </is>
      </c>
      <c r="B17" s="12" t="inlineStr">
        <is>
          <t>Entorno verificado en los tres equipos</t>
        </is>
      </c>
      <c r="C17" s="15" t="n">
        <v>1</v>
      </c>
      <c r="D17" s="12" t="inlineStr">
        <is>
          <t>Equipo completo</t>
        </is>
      </c>
      <c r="E17" s="15" t="inlineStr">
        <is>
          <t>Pasa a la iteración 5</t>
        </is>
      </c>
      <c r="F17" s="4" t="n"/>
      <c r="G17" s="4" t="n"/>
      <c r="H17" s="4" t="n"/>
      <c r="I17" s="4" t="n"/>
      <c r="J17" s="4" t="n"/>
      <c r="K17" s="4" t="n"/>
      <c r="L17" s="4" t="n"/>
      <c r="M17" s="4" t="n"/>
      <c r="N17" s="4" t="n"/>
      <c r="O17" s="4" t="n"/>
      <c r="P17" s="4" t="n"/>
      <c r="Q17" s="4" t="n"/>
      <c r="R17" s="4" t="n"/>
      <c r="S17" s="4" t="n"/>
      <c r="T17" s="4" t="n"/>
      <c r="U17" s="4" t="n"/>
      <c r="V17" s="4" t="n"/>
      <c r="W17" s="4" t="n"/>
      <c r="X17" s="4" t="n"/>
      <c r="Y17" s="4" t="n"/>
      <c r="Z17" s="4" t="n"/>
    </row>
    <row r="18" ht="15" customHeight="1" s="22">
      <c r="A18" s="15" t="inlineStr">
        <is>
          <t>HT-03</t>
        </is>
      </c>
      <c r="B18" s="12" t="inlineStr">
        <is>
          <t>Contenedores Docker (adelantada de la iteración 7)</t>
        </is>
      </c>
      <c r="C18" s="15" t="n">
        <v>3</v>
      </c>
      <c r="D18" s="12" t="inlineStr">
        <is>
          <t>Jeremías Fernández</t>
        </is>
      </c>
      <c r="E18" s="15" t="inlineStr">
        <is>
          <t>Pasa a la iteración 5</t>
        </is>
      </c>
      <c r="F18" s="4" t="n"/>
      <c r="G18" s="4" t="n"/>
      <c r="H18" s="4" t="n"/>
      <c r="I18" s="4" t="n"/>
      <c r="J18" s="4" t="n"/>
      <c r="K18" s="4" t="n"/>
      <c r="L18" s="4" t="n"/>
      <c r="M18" s="4" t="n"/>
      <c r="N18" s="4" t="n"/>
      <c r="O18" s="4" t="n"/>
      <c r="P18" s="4" t="n"/>
      <c r="Q18" s="4" t="n"/>
      <c r="R18" s="4" t="n"/>
      <c r="S18" s="4" t="n"/>
      <c r="T18" s="4" t="n"/>
      <c r="U18" s="4" t="n"/>
      <c r="V18" s="4" t="n"/>
      <c r="W18" s="4" t="n"/>
      <c r="X18" s="4" t="n"/>
      <c r="Y18" s="4" t="n"/>
      <c r="Z18" s="4" t="n"/>
    </row>
    <row r="19" ht="15" customHeight="1" s="22">
      <c r="A19" s="1" t="n"/>
      <c r="B19" s="18" t="inlineStr">
        <is>
          <t>Puntos comprometidos</t>
        </is>
      </c>
      <c r="C19" s="21">
        <f>SUMPRODUCT(C13:C18*ISERROR(SEARCH("no planificada",B13:B18)))</f>
        <v/>
      </c>
      <c r="D19" s="1" t="n"/>
      <c r="E19" s="1" t="n"/>
      <c r="F19" s="4" t="n"/>
      <c r="G19" s="4" t="n"/>
      <c r="H19" s="4" t="n"/>
      <c r="I19" s="4" t="n"/>
      <c r="J19" s="4" t="n"/>
      <c r="K19" s="4" t="n"/>
      <c r="L19" s="4" t="n"/>
      <c r="M19" s="4" t="n"/>
      <c r="N19" s="4" t="n"/>
      <c r="O19" s="4" t="n"/>
      <c r="P19" s="4" t="n"/>
      <c r="Q19" s="4" t="n"/>
      <c r="R19" s="4" t="n"/>
      <c r="S19" s="4" t="n"/>
      <c r="T19" s="4" t="n"/>
      <c r="U19" s="4" t="n"/>
      <c r="V19" s="4" t="n"/>
      <c r="W19" s="4" t="n"/>
      <c r="X19" s="4" t="n"/>
      <c r="Y19" s="4" t="n"/>
      <c r="Z19" s="4" t="n"/>
    </row>
    <row r="20" ht="15" customHeight="1" s="22">
      <c r="A20" s="1" t="n"/>
      <c r="B20" s="18" t="inlineStr">
        <is>
          <t>Puntos terminados (velocidad, incluye lo no planificado)</t>
        </is>
      </c>
      <c r="C20" s="21">
        <f>SUMIF(E13:E18,"Hecho",C13:C18)</f>
        <v/>
      </c>
      <c r="D20" s="1" t="n"/>
      <c r="E20" s="1" t="n"/>
      <c r="F20" s="4" t="n"/>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22">
      <c r="A21" s="1" t="n"/>
      <c r="B21" s="1" t="n"/>
      <c r="C21" s="1" t="n"/>
      <c r="D21" s="1" t="n"/>
      <c r="E21" s="1" t="n"/>
      <c r="F21" s="4" t="n"/>
      <c r="G21" s="4" t="n"/>
      <c r="H21" s="4" t="n"/>
      <c r="I21" s="4" t="n"/>
      <c r="J21" s="4" t="n"/>
      <c r="K21" s="4" t="n"/>
      <c r="L21" s="4" t="n"/>
      <c r="M21" s="4" t="n"/>
      <c r="N21" s="4" t="n"/>
      <c r="O21" s="4" t="n"/>
      <c r="P21" s="4" t="n"/>
      <c r="Q21" s="4" t="n"/>
      <c r="R21" s="4" t="n"/>
      <c r="S21" s="4" t="n"/>
      <c r="T21" s="4" t="n"/>
      <c r="U21" s="4" t="n"/>
      <c r="V21" s="4" t="n"/>
      <c r="W21" s="4" t="n"/>
      <c r="X21" s="4" t="n"/>
      <c r="Y21" s="4" t="n"/>
      <c r="Z21" s="4" t="n"/>
    </row>
    <row r="22" ht="15" customHeight="1" s="22">
      <c r="A22" s="16" t="inlineStr">
        <is>
          <t>Tareas</t>
        </is>
      </c>
      <c r="B22" s="1" t="n"/>
      <c r="C22" s="1" t="n"/>
      <c r="D22" s="1" t="n"/>
      <c r="E22" s="1" t="n"/>
      <c r="F22" s="4" t="n"/>
      <c r="G22" s="4" t="n"/>
      <c r="H22" s="4" t="n"/>
      <c r="I22" s="4" t="n"/>
      <c r="J22" s="4" t="n"/>
      <c r="K22" s="4" t="n"/>
      <c r="L22" s="4" t="n"/>
      <c r="M22" s="4" t="n"/>
      <c r="N22" s="4" t="n"/>
      <c r="O22" s="4" t="n"/>
      <c r="P22" s="4" t="n"/>
      <c r="Q22" s="4" t="n"/>
      <c r="R22" s="4" t="n"/>
      <c r="S22" s="4" t="n"/>
      <c r="T22" s="4" t="n"/>
      <c r="U22" s="4" t="n"/>
      <c r="V22" s="4" t="n"/>
      <c r="W22" s="4" t="n"/>
      <c r="X22" s="4" t="n"/>
      <c r="Y22" s="4" t="n"/>
      <c r="Z22" s="4" t="n"/>
    </row>
    <row r="23" ht="15" customHeight="1" s="22">
      <c r="A23" s="8" t="inlineStr">
        <is>
          <t>ID</t>
        </is>
      </c>
      <c r="B23" s="8" t="inlineStr">
        <is>
          <t>Tarea</t>
        </is>
      </c>
      <c r="C23" s="8" t="inlineStr">
        <is>
          <t>Historia</t>
        </is>
      </c>
      <c r="D23" s="8" t="inlineStr">
        <is>
          <t>Responsable</t>
        </is>
      </c>
      <c r="E23" s="8" t="inlineStr">
        <is>
          <t>Estado</t>
        </is>
      </c>
      <c r="F23" s="4" t="n"/>
      <c r="G23" s="4" t="n"/>
      <c r="H23" s="4" t="n"/>
      <c r="I23" s="4" t="n"/>
      <c r="J23" s="4" t="n"/>
      <c r="K23" s="4" t="n"/>
      <c r="L23" s="4" t="n"/>
      <c r="M23" s="4" t="n"/>
      <c r="N23" s="4" t="n"/>
      <c r="O23" s="4" t="n"/>
      <c r="P23" s="4" t="n"/>
      <c r="Q23" s="4" t="n"/>
      <c r="R23" s="4" t="n"/>
      <c r="S23" s="4" t="n"/>
      <c r="T23" s="4" t="n"/>
      <c r="U23" s="4" t="n"/>
      <c r="V23" s="4" t="n"/>
      <c r="W23" s="4" t="n"/>
      <c r="X23" s="4" t="n"/>
      <c r="Y23" s="4" t="n"/>
      <c r="Z23" s="4" t="n"/>
    </row>
    <row r="24" ht="23.25" customHeight="1" s="22">
      <c r="A24" s="15" t="inlineStr">
        <is>
          <t>T-29</t>
        </is>
      </c>
      <c r="B24" s="12" t="inlineStr">
        <is>
          <t>Servicio POST /questions/{id}/answer: registrar, descontar cuota, otorgar medalla y liberar la pendiente</t>
        </is>
      </c>
      <c r="C24" s="15" t="inlineStr">
        <is>
          <t>HU-03</t>
        </is>
      </c>
      <c r="D24" s="12" t="inlineStr">
        <is>
          <t>Jeremías Fernández</t>
        </is>
      </c>
      <c r="E24" s="15" t="inlineStr">
        <is>
          <t>Hecho</t>
        </is>
      </c>
      <c r="F24" s="4" t="n"/>
      <c r="G24" s="4" t="n"/>
      <c r="H24" s="4" t="n"/>
      <c r="I24" s="4" t="n"/>
      <c r="J24" s="4" t="n"/>
      <c r="K24" s="4" t="n"/>
      <c r="L24" s="4" t="n"/>
      <c r="M24" s="4" t="n"/>
      <c r="N24" s="4" t="n"/>
      <c r="O24" s="4" t="n"/>
      <c r="P24" s="4" t="n"/>
      <c r="Q24" s="4" t="n"/>
      <c r="R24" s="4" t="n"/>
      <c r="S24" s="4" t="n"/>
      <c r="T24" s="4" t="n"/>
      <c r="U24" s="4" t="n"/>
      <c r="V24" s="4" t="n"/>
      <c r="W24" s="4" t="n"/>
      <c r="X24" s="4" t="n"/>
      <c r="Y24" s="4" t="n"/>
      <c r="Z24" s="4" t="n"/>
    </row>
    <row r="25" ht="23.25" customHeight="1" s="22">
      <c r="A25" s="15" t="inlineStr">
        <is>
          <t>T-28</t>
        </is>
      </c>
      <c r="B25" s="12" t="inlineStr">
        <is>
          <t>Calcular el tiempo de respuesta desde la entrega registrada por el servidor</t>
        </is>
      </c>
      <c r="C25" s="15" t="inlineStr">
        <is>
          <t>HU-03</t>
        </is>
      </c>
      <c r="D25" s="12" t="inlineStr">
        <is>
          <t>Jeremías Fernández</t>
        </is>
      </c>
      <c r="E25" s="15" t="inlineStr">
        <is>
          <t>Hecho</t>
        </is>
      </c>
      <c r="F25" s="4" t="n"/>
      <c r="G25" s="4" t="n"/>
      <c r="H25" s="4" t="n"/>
      <c r="I25" s="4" t="n"/>
      <c r="J25" s="4" t="n"/>
      <c r="K25" s="4" t="n"/>
      <c r="L25" s="4" t="n"/>
      <c r="M25" s="4" t="n"/>
      <c r="N25" s="4" t="n"/>
      <c r="O25" s="4" t="n"/>
      <c r="P25" s="4" t="n"/>
      <c r="Q25" s="4" t="n"/>
      <c r="R25" s="4" t="n"/>
      <c r="S25" s="4" t="n"/>
      <c r="T25" s="4" t="n"/>
      <c r="U25" s="4" t="n"/>
      <c r="V25" s="4" t="n"/>
      <c r="W25" s="4" t="n"/>
      <c r="X25" s="4" t="n"/>
      <c r="Y25" s="4" t="n"/>
      <c r="Z25" s="4" t="n"/>
    </row>
    <row r="26" ht="15" customHeight="1" s="22">
      <c r="A26" s="15" t="inlineStr">
        <is>
          <t>T-25</t>
        </is>
      </c>
      <c r="B26" s="12" t="inlineStr">
        <is>
          <t>Elegir la pregunta pendiente dentro de una transacción</t>
        </is>
      </c>
      <c r="C26" s="15" t="inlineStr">
        <is>
          <t>HU-01</t>
        </is>
      </c>
      <c r="D26" s="12" t="inlineStr">
        <is>
          <t>Jeremías Fernández</t>
        </is>
      </c>
      <c r="E26" s="15" t="inlineStr">
        <is>
          <t>Hecho</t>
        </is>
      </c>
      <c r="F26" s="4" t="n"/>
      <c r="G26" s="4" t="n"/>
      <c r="H26" s="4" t="n"/>
      <c r="I26" s="4" t="n"/>
      <c r="J26" s="4" t="n"/>
      <c r="K26" s="4" t="n"/>
      <c r="L26" s="4" t="n"/>
      <c r="M26" s="4" t="n"/>
      <c r="N26" s="4" t="n"/>
      <c r="O26" s="4" t="n"/>
      <c r="P26" s="4" t="n"/>
      <c r="Q26" s="4" t="n"/>
      <c r="R26" s="4" t="n"/>
      <c r="S26" s="4" t="n"/>
      <c r="T26" s="4" t="n"/>
      <c r="U26" s="4" t="n"/>
      <c r="V26" s="4" t="n"/>
      <c r="W26" s="4" t="n"/>
      <c r="X26" s="4" t="n"/>
      <c r="Y26" s="4" t="n"/>
      <c r="Z26" s="4" t="n"/>
    </row>
    <row r="27" ht="15" customHeight="1" s="22">
      <c r="A27" s="15" t="inlineStr">
        <is>
          <t>T-20</t>
        </is>
      </c>
      <c r="B27" s="12" t="inlineStr">
        <is>
          <t>Servicio GET /questions/{id}, pendiente de la iteración 3</t>
        </is>
      </c>
      <c r="C27" s="15" t="inlineStr">
        <is>
          <t>HU-01</t>
        </is>
      </c>
      <c r="D27" s="12" t="inlineStr">
        <is>
          <t>Jeremías Fernández</t>
        </is>
      </c>
      <c r="E27" s="15" t="inlineStr">
        <is>
          <t>Hecho</t>
        </is>
      </c>
      <c r="F27" s="4" t="n"/>
      <c r="G27" s="4" t="n"/>
      <c r="H27" s="4" t="n"/>
      <c r="I27" s="4" t="n"/>
      <c r="J27" s="4" t="n"/>
      <c r="K27" s="4" t="n"/>
      <c r="L27" s="4" t="n"/>
      <c r="M27" s="4" t="n"/>
      <c r="N27" s="4" t="n"/>
      <c r="O27" s="4" t="n"/>
      <c r="P27" s="4" t="n"/>
      <c r="Q27" s="4" t="n"/>
      <c r="R27" s="4" t="n"/>
      <c r="S27" s="4" t="n"/>
      <c r="T27" s="4" t="n"/>
      <c r="U27" s="4" t="n"/>
      <c r="V27" s="4" t="n"/>
      <c r="W27" s="4" t="n"/>
      <c r="X27" s="4" t="n"/>
      <c r="Y27" s="4" t="n"/>
      <c r="Z27" s="4" t="n"/>
    </row>
    <row r="28" ht="15" customHeight="1" s="22">
      <c r="A28" s="15" t="inlineStr">
        <is>
          <t>T-38</t>
        </is>
      </c>
      <c r="B28" s="12" t="inlineStr">
        <is>
          <t>Exigir mock_mode en el plan para habilitar el formato facsímil</t>
        </is>
      </c>
      <c r="C28" s="15" t="inlineStr">
        <is>
          <t>HU-12</t>
        </is>
      </c>
      <c r="D28" s="12" t="inlineStr">
        <is>
          <t>Jeremías Fernández</t>
        </is>
      </c>
      <c r="E28" s="15" t="inlineStr">
        <is>
          <t>Por confirmar</t>
        </is>
      </c>
      <c r="F28" s="4" t="n"/>
      <c r="G28" s="4" t="n"/>
      <c r="H28" s="4" t="n"/>
      <c r="I28" s="4" t="n"/>
      <c r="J28" s="4" t="n"/>
      <c r="K28" s="4" t="n"/>
      <c r="L28" s="4" t="n"/>
      <c r="M28" s="4" t="n"/>
      <c r="N28" s="4" t="n"/>
      <c r="O28" s="4" t="n"/>
      <c r="P28" s="4" t="n"/>
      <c r="Q28" s="4" t="n"/>
      <c r="R28" s="4" t="n"/>
      <c r="S28" s="4" t="n"/>
      <c r="T28" s="4" t="n"/>
      <c r="U28" s="4" t="n"/>
      <c r="V28" s="4" t="n"/>
      <c r="W28" s="4" t="n"/>
      <c r="X28" s="4" t="n"/>
      <c r="Y28" s="4" t="n"/>
      <c r="Z28" s="4" t="n"/>
    </row>
    <row r="29" ht="23.25" customHeight="1" s="22">
      <c r="A29" s="15" t="inlineStr">
        <is>
          <t>T-30</t>
        </is>
      </c>
      <c r="B29" s="12" t="inlineStr">
        <is>
          <t>Actualizar el histograma de tiempos y calcular el percentil al responder</t>
        </is>
      </c>
      <c r="C29" s="15" t="inlineStr">
        <is>
          <t>HT-04</t>
        </is>
      </c>
      <c r="D29" s="12" t="inlineStr">
        <is>
          <t>Jeremías Fernández</t>
        </is>
      </c>
      <c r="E29" s="15" t="inlineStr">
        <is>
          <t>Hecho</t>
        </is>
      </c>
      <c r="F29" s="4" t="n"/>
      <c r="G29" s="4" t="n"/>
      <c r="H29" s="4" t="n"/>
      <c r="I29" s="4" t="n"/>
      <c r="J29" s="4" t="n"/>
      <c r="K29" s="4" t="n"/>
      <c r="L29" s="4" t="n"/>
      <c r="M29" s="4" t="n"/>
      <c r="N29" s="4" t="n"/>
      <c r="O29" s="4" t="n"/>
      <c r="P29" s="4" t="n"/>
      <c r="Q29" s="4" t="n"/>
      <c r="R29" s="4" t="n"/>
      <c r="S29" s="4" t="n"/>
      <c r="T29" s="4" t="n"/>
      <c r="U29" s="4" t="n"/>
      <c r="V29" s="4" t="n"/>
      <c r="W29" s="4" t="n"/>
      <c r="X29" s="4" t="n"/>
      <c r="Y29" s="4" t="n"/>
      <c r="Z29" s="4" t="n"/>
    </row>
    <row r="30" ht="15" customHeight="1" s="22">
      <c r="A30" s="15" t="inlineStr">
        <is>
          <t>T-31</t>
        </is>
      </c>
      <c r="B30" s="12" t="inlineStr">
        <is>
          <t>Construir la pantalla Resultado integrada con el servicio</t>
        </is>
      </c>
      <c r="C30" s="15" t="inlineStr">
        <is>
          <t>HU-04</t>
        </is>
      </c>
      <c r="D30" s="12" t="inlineStr">
        <is>
          <t>Sebastián Acevedo</t>
        </is>
      </c>
      <c r="E30" s="15" t="inlineStr">
        <is>
          <t>Hecho</t>
        </is>
      </c>
      <c r="F30" s="4" t="n"/>
      <c r="G30" s="4" t="n"/>
      <c r="H30" s="4" t="n"/>
      <c r="I30" s="4" t="n"/>
      <c r="J30" s="4" t="n"/>
      <c r="K30" s="4" t="n"/>
      <c r="L30" s="4" t="n"/>
      <c r="M30" s="4" t="n"/>
      <c r="N30" s="4" t="n"/>
      <c r="O30" s="4" t="n"/>
      <c r="P30" s="4" t="n"/>
      <c r="Q30" s="4" t="n"/>
      <c r="R30" s="4" t="n"/>
      <c r="S30" s="4" t="n"/>
      <c r="T30" s="4" t="n"/>
      <c r="U30" s="4" t="n"/>
      <c r="V30" s="4" t="n"/>
      <c r="W30" s="4" t="n"/>
      <c r="X30" s="4" t="n"/>
      <c r="Y30" s="4" t="n"/>
      <c r="Z30" s="4" t="n"/>
    </row>
    <row r="31" ht="15" customHeight="1" s="22">
      <c r="A31" s="15" t="inlineStr">
        <is>
          <t>T-26</t>
        </is>
      </c>
      <c r="B31" s="12" t="inlineStr">
        <is>
          <t>Conservar la ruta de práctica al recargar en la versión web</t>
        </is>
      </c>
      <c r="C31" s="15" t="inlineStr">
        <is>
          <t>HU-02</t>
        </is>
      </c>
      <c r="D31" s="12" t="inlineStr">
        <is>
          <t>Sebastián Acevedo</t>
        </is>
      </c>
      <c r="E31" s="15" t="inlineStr">
        <is>
          <t>No aceptada · pasa a la iteración 5</t>
        </is>
      </c>
      <c r="F31" s="4" t="n"/>
      <c r="G31" s="4" t="n"/>
      <c r="H31" s="4" t="n"/>
      <c r="I31" s="4" t="n"/>
      <c r="J31" s="4" t="n"/>
      <c r="K31" s="4" t="n"/>
      <c r="L31" s="4" t="n"/>
      <c r="M31" s="4" t="n"/>
      <c r="N31" s="4" t="n"/>
      <c r="O31" s="4" t="n"/>
      <c r="P31" s="4" t="n"/>
      <c r="Q31" s="4" t="n"/>
      <c r="R31" s="4" t="n"/>
      <c r="S31" s="4" t="n"/>
      <c r="T31" s="4" t="n"/>
      <c r="U31" s="4" t="n"/>
      <c r="V31" s="4" t="n"/>
      <c r="W31" s="4" t="n"/>
      <c r="X31" s="4" t="n"/>
      <c r="Y31" s="4" t="n"/>
      <c r="Z31" s="4" t="n"/>
    </row>
    <row r="32" ht="15" customHeight="1" s="22">
      <c r="A32" s="15" t="inlineStr">
        <is>
          <t>T-27</t>
        </is>
      </c>
      <c r="B32" s="12" t="inlineStr">
        <is>
          <t>Mostrar el formato de cita del enunciado sin el símbolo de marca</t>
        </is>
      </c>
      <c r="C32" s="15" t="inlineStr">
        <is>
          <t>HU-02</t>
        </is>
      </c>
      <c r="D32" s="12" t="inlineStr">
        <is>
          <t>Sebastián Acevedo</t>
        </is>
      </c>
      <c r="E32" s="15" t="inlineStr">
        <is>
          <t>Hecho</t>
        </is>
      </c>
      <c r="F32" s="4" t="n"/>
      <c r="G32" s="4" t="n"/>
      <c r="H32" s="4" t="n"/>
      <c r="I32" s="4" t="n"/>
      <c r="J32" s="4" t="n"/>
      <c r="K32" s="4" t="n"/>
      <c r="L32" s="4" t="n"/>
      <c r="M32" s="4" t="n"/>
      <c r="N32" s="4" t="n"/>
      <c r="O32" s="4" t="n"/>
      <c r="P32" s="4" t="n"/>
      <c r="Q32" s="4" t="n"/>
      <c r="R32" s="4" t="n"/>
      <c r="S32" s="4" t="n"/>
      <c r="T32" s="4" t="n"/>
      <c r="U32" s="4" t="n"/>
      <c r="V32" s="4" t="n"/>
      <c r="W32" s="4" t="n"/>
      <c r="X32" s="4" t="n"/>
      <c r="Y32" s="4" t="n"/>
      <c r="Z32" s="4" t="n"/>
    </row>
    <row r="33" ht="15" customHeight="1" s="22">
      <c r="A33" s="15" t="inlineStr">
        <is>
          <t>T-32</t>
        </is>
      </c>
      <c r="B33" s="12" t="inlineStr">
        <is>
          <t>Ordenar la práctica en formato facsímil</t>
        </is>
      </c>
      <c r="C33" s="15" t="inlineStr">
        <is>
          <t>HU-12</t>
        </is>
      </c>
      <c r="D33" s="12" t="inlineStr">
        <is>
          <t>Jeremías Fernández</t>
        </is>
      </c>
      <c r="E33" s="15" t="inlineStr">
        <is>
          <t>Pasa a la iteración 5</t>
        </is>
      </c>
      <c r="F33" s="4" t="n"/>
      <c r="G33" s="4" t="n"/>
      <c r="H33" s="4" t="n"/>
      <c r="I33" s="4" t="n"/>
      <c r="J33" s="4" t="n"/>
      <c r="K33" s="4" t="n"/>
      <c r="L33" s="4" t="n"/>
      <c r="M33" s="4" t="n"/>
      <c r="N33" s="4" t="n"/>
      <c r="O33" s="4" t="n"/>
      <c r="P33" s="4" t="n"/>
      <c r="Q33" s="4" t="n"/>
      <c r="R33" s="4" t="n"/>
      <c r="S33" s="4" t="n"/>
      <c r="T33" s="4" t="n"/>
      <c r="U33" s="4" t="n"/>
      <c r="V33" s="4" t="n"/>
      <c r="W33" s="4" t="n"/>
      <c r="X33" s="4" t="n"/>
      <c r="Y33" s="4" t="n"/>
      <c r="Z33" s="4" t="n"/>
    </row>
    <row r="34" ht="15" customHeight="1" s="22">
      <c r="A34" s="15" t="inlineStr">
        <is>
          <t>T-23</t>
        </is>
      </c>
      <c r="B34" s="12" t="inlineStr">
        <is>
          <t>Restringir las claves de Firebase por aplicación y dominio</t>
        </is>
      </c>
      <c r="C34" s="15" t="inlineStr">
        <is>
          <t>HU-21</t>
        </is>
      </c>
      <c r="D34" s="12" t="inlineStr">
        <is>
          <t>Jeremías Fernández</t>
        </is>
      </c>
      <c r="E34" s="15" t="inlineStr">
        <is>
          <t>Por confirmar</t>
        </is>
      </c>
      <c r="F34" s="4" t="n"/>
      <c r="G34" s="4" t="n"/>
      <c r="H34" s="4" t="n"/>
      <c r="I34" s="4" t="n"/>
      <c r="J34" s="4" t="n"/>
      <c r="K34" s="4" t="n"/>
      <c r="L34" s="4" t="n"/>
      <c r="M34" s="4" t="n"/>
      <c r="N34" s="4" t="n"/>
      <c r="O34" s="4" t="n"/>
      <c r="P34" s="4" t="n"/>
      <c r="Q34" s="4" t="n"/>
      <c r="R34" s="4" t="n"/>
      <c r="S34" s="4" t="n"/>
      <c r="T34" s="4" t="n"/>
      <c r="U34" s="4" t="n"/>
      <c r="V34" s="4" t="n"/>
      <c r="W34" s="4" t="n"/>
      <c r="X34" s="4" t="n"/>
      <c r="Y34" s="4" t="n"/>
      <c r="Z34" s="4" t="n"/>
    </row>
    <row r="35" ht="15" customHeight="1" s="22">
      <c r="A35" s="15" t="inlineStr">
        <is>
          <t>T-01</t>
        </is>
      </c>
      <c r="B35" s="12" t="inlineStr">
        <is>
          <t>Instalar y ejecutar el proyecto en los tres equipos</t>
        </is>
      </c>
      <c r="C35" s="15" t="inlineStr">
        <is>
          <t>HT-06</t>
        </is>
      </c>
      <c r="D35" s="12" t="inlineStr">
        <is>
          <t>Equipo completo</t>
        </is>
      </c>
      <c r="E35" s="15" t="inlineStr">
        <is>
          <t>Pasa a la iteración 5</t>
        </is>
      </c>
      <c r="F35" s="4" t="n"/>
      <c r="G35" s="4" t="n"/>
      <c r="H35" s="4" t="n"/>
      <c r="I35" s="4" t="n"/>
      <c r="J35" s="4" t="n"/>
      <c r="K35" s="4" t="n"/>
      <c r="L35" s="4" t="n"/>
      <c r="M35" s="4" t="n"/>
      <c r="N35" s="4" t="n"/>
      <c r="O35" s="4" t="n"/>
      <c r="P35" s="4" t="n"/>
      <c r="Q35" s="4" t="n"/>
      <c r="R35" s="4" t="n"/>
      <c r="S35" s="4" t="n"/>
      <c r="T35" s="4" t="n"/>
      <c r="U35" s="4" t="n"/>
      <c r="V35" s="4" t="n"/>
      <c r="W35" s="4" t="n"/>
      <c r="X35" s="4" t="n"/>
      <c r="Y35" s="4" t="n"/>
      <c r="Z35" s="4" t="n"/>
    </row>
    <row r="36" ht="23.25" customHeight="1" s="22">
      <c r="A36" s="15" t="inlineStr">
        <is>
          <t>T-33</t>
        </is>
      </c>
      <c r="B36" s="12" t="inlineStr">
        <is>
          <t>Dockerfile del backend y docker-compose con el emulador de Firestore</t>
        </is>
      </c>
      <c r="C36" s="15" t="inlineStr">
        <is>
          <t>HT-03</t>
        </is>
      </c>
      <c r="D36" s="12" t="inlineStr">
        <is>
          <t>Jeremías Fernández</t>
        </is>
      </c>
      <c r="E36" s="15" t="inlineStr">
        <is>
          <t>Pasa a la iteración 5</t>
        </is>
      </c>
      <c r="F36" s="4" t="n"/>
      <c r="G36" s="4" t="n"/>
      <c r="H36" s="4" t="n"/>
      <c r="I36" s="4" t="n"/>
      <c r="J36" s="4" t="n"/>
      <c r="K36" s="4" t="n"/>
      <c r="L36" s="4" t="n"/>
      <c r="M36" s="4" t="n"/>
      <c r="N36" s="4" t="n"/>
      <c r="O36" s="4" t="n"/>
      <c r="P36" s="4" t="n"/>
      <c r="Q36" s="4" t="n"/>
      <c r="R36" s="4" t="n"/>
      <c r="S36" s="4" t="n"/>
      <c r="T36" s="4" t="n"/>
      <c r="U36" s="4" t="n"/>
      <c r="V36" s="4" t="n"/>
      <c r="W36" s="4" t="n"/>
      <c r="X36" s="4" t="n"/>
      <c r="Y36" s="4" t="n"/>
      <c r="Z36" s="4" t="n"/>
    </row>
    <row r="37" ht="23.25" customHeight="1" s="22">
      <c r="A37" s="15" t="inlineStr">
        <is>
          <t>T-34</t>
        </is>
      </c>
      <c r="B37" s="12" t="inlineStr">
        <is>
          <t>Levantar el proyecto con contenedores siguiendo solo la documentación</t>
        </is>
      </c>
      <c r="C37" s="15" t="inlineStr">
        <is>
          <t>HT-03</t>
        </is>
      </c>
      <c r="D37" s="12" t="inlineStr">
        <is>
          <t>Martin Espinoza</t>
        </is>
      </c>
      <c r="E37" s="15" t="inlineStr">
        <is>
          <t>Pasa a la iteración 5</t>
        </is>
      </c>
      <c r="F37" s="4" t="n"/>
      <c r="G37" s="4" t="n"/>
      <c r="H37" s="4" t="n"/>
      <c r="I37" s="4" t="n"/>
      <c r="J37" s="4" t="n"/>
      <c r="K37" s="4" t="n"/>
      <c r="L37" s="4" t="n"/>
      <c r="M37" s="4" t="n"/>
      <c r="N37" s="4" t="n"/>
      <c r="O37" s="4" t="n"/>
      <c r="P37" s="4" t="n"/>
      <c r="Q37" s="4" t="n"/>
      <c r="R37" s="4" t="n"/>
      <c r="S37" s="4" t="n"/>
      <c r="T37" s="4" t="n"/>
      <c r="U37" s="4" t="n"/>
      <c r="V37" s="4" t="n"/>
      <c r="W37" s="4" t="n"/>
      <c r="X37" s="4" t="n"/>
      <c r="Y37" s="4" t="n"/>
      <c r="Z37" s="4" t="n"/>
    </row>
    <row r="38" ht="23.25" customHeight="1" s="22">
      <c r="A38" s="15" t="inlineStr">
        <is>
          <t>T-35</t>
        </is>
      </c>
      <c r="B38" s="12" t="inlineStr">
        <is>
          <t>Pruebas de aceptación de la iteración: casos CP-01 a CP-04 y criterios de HU-03, HU-04 y HU-12</t>
        </is>
      </c>
      <c r="C38" s="15" t="inlineStr">
        <is>
          <t>HU-03, HU-04, HU-12</t>
        </is>
      </c>
      <c r="D38" s="12" t="inlineStr">
        <is>
          <t>Martin Espinoza</t>
        </is>
      </c>
      <c r="E38" s="15" t="inlineStr">
        <is>
          <t>Hecho</t>
        </is>
      </c>
      <c r="F38" s="4" t="n"/>
      <c r="G38" s="4" t="n"/>
      <c r="H38" s="4" t="n"/>
      <c r="I38" s="4" t="n"/>
      <c r="J38" s="4" t="n"/>
      <c r="K38" s="4" t="n"/>
      <c r="L38" s="4" t="n"/>
      <c r="M38" s="4" t="n"/>
      <c r="N38" s="4" t="n"/>
      <c r="O38" s="4" t="n"/>
      <c r="P38" s="4" t="n"/>
      <c r="Q38" s="4" t="n"/>
      <c r="R38" s="4" t="n"/>
      <c r="S38" s="4" t="n"/>
      <c r="T38" s="4" t="n"/>
      <c r="U38" s="4" t="n"/>
      <c r="V38" s="4" t="n"/>
      <c r="W38" s="4" t="n"/>
      <c r="X38" s="4" t="n"/>
      <c r="Y38" s="4" t="n"/>
      <c r="Z38" s="4" t="n"/>
    </row>
    <row r="39" ht="23.25" customHeight="1" s="22">
      <c r="A39" s="15" t="inlineStr">
        <is>
          <t>T-37</t>
        </is>
      </c>
      <c r="B39" s="12" t="inlineStr">
        <is>
          <t>Ampliar la prueba de integridad para detectar explanation en todas las rutas</t>
        </is>
      </c>
      <c r="C39" s="15" t="inlineStr">
        <is>
          <t>RT-02</t>
        </is>
      </c>
      <c r="D39" s="12" t="inlineStr">
        <is>
          <t>Jeremías Fernández</t>
        </is>
      </c>
      <c r="E39" s="15" t="inlineStr">
        <is>
          <t>Hecho</t>
        </is>
      </c>
      <c r="F39" s="4" t="n"/>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22">
      <c r="A40" s="1" t="n"/>
      <c r="B40" s="1" t="n"/>
      <c r="C40" s="1" t="n"/>
      <c r="D40" s="1" t="n"/>
      <c r="E40" s="1" t="n"/>
      <c r="F40" s="4" t="n"/>
      <c r="G40" s="4" t="n"/>
      <c r="H40" s="4" t="n"/>
      <c r="I40" s="4" t="n"/>
      <c r="J40" s="4" t="n"/>
      <c r="K40" s="4" t="n"/>
      <c r="L40" s="4" t="n"/>
      <c r="M40" s="4" t="n"/>
      <c r="N40" s="4" t="n"/>
      <c r="O40" s="4" t="n"/>
      <c r="P40" s="4" t="n"/>
      <c r="Q40" s="4" t="n"/>
      <c r="R40" s="4" t="n"/>
      <c r="S40" s="4" t="n"/>
      <c r="T40" s="4" t="n"/>
      <c r="U40" s="4" t="n"/>
      <c r="V40" s="4" t="n"/>
      <c r="W40" s="4" t="n"/>
      <c r="X40" s="4" t="n"/>
      <c r="Y40" s="4" t="n"/>
      <c r="Z40" s="4" t="n"/>
    </row>
    <row r="41" ht="15" customHeight="1" s="22">
      <c r="A41" s="16" t="inlineStr">
        <is>
          <t>Cierre de la iteración</t>
        </is>
      </c>
      <c r="B41" s="1" t="n"/>
      <c r="C41" s="1" t="n"/>
      <c r="D41" s="1" t="n"/>
      <c r="E41" s="1" t="n"/>
      <c r="F41" s="4" t="n"/>
      <c r="G41" s="4" t="n"/>
      <c r="H41" s="4" t="n"/>
      <c r="I41" s="4" t="n"/>
      <c r="J41" s="4" t="n"/>
      <c r="K41" s="4" t="n"/>
      <c r="L41" s="4" t="n"/>
      <c r="M41" s="4" t="n"/>
      <c r="N41" s="4" t="n"/>
      <c r="O41" s="4" t="n"/>
      <c r="P41" s="4" t="n"/>
      <c r="Q41" s="4" t="n"/>
      <c r="R41" s="4" t="n"/>
      <c r="S41" s="4" t="n"/>
      <c r="T41" s="4" t="n"/>
      <c r="U41" s="4" t="n"/>
      <c r="V41" s="4" t="n"/>
      <c r="W41" s="4" t="n"/>
      <c r="X41" s="4" t="n"/>
      <c r="Y41" s="4" t="n"/>
      <c r="Z41" s="4" t="n"/>
    </row>
    <row r="42" ht="150" customHeight="1" s="22">
      <c r="A42" s="9" t="inlineStr">
        <is>
          <t>Resultado</t>
        </is>
      </c>
      <c r="B42" s="12" t="inlineStr">
        <is>
          <t>Se completaron en producción el registro de la respuesta con su transacción única, la pantalla Resultado y el percentil de cohorte desde el histograma. El tiempo de respuesta se mide desde la entrega registrada por el servidor, la pregunta pendiente se fija de forma atómica ante solicitudes simultáneas, la cuota aplica la base de 10 con tope 20 confirmada por la contraparte y la prueba de integridad detecta también la explicación. La aceptación T-35, del 05/10/2026, aprobó 9 de 11 pasos: falló la conservación de la pantalla Pregunta al recargar en la versión web (T-26) y no se observó en producción una pregunta de cinco alternativas, cubierta por pruebas automatizadas. No se completaron el orden del facsímil (HU-12), la verificación del entorno en los tres equipos (HT-06) ni los contenedores (HT-03). Velocidad: 11 de 18 puntos.</t>
        </is>
      </c>
      <c r="C42" s="23" t="n"/>
      <c r="D42" s="23" t="n"/>
      <c r="E42" s="24" t="n"/>
      <c r="F42" s="4" t="n"/>
      <c r="G42" s="4" t="n"/>
      <c r="H42" s="4" t="n"/>
      <c r="I42" s="4" t="n"/>
      <c r="J42" s="4" t="n"/>
      <c r="K42" s="4" t="n"/>
      <c r="L42" s="4" t="n"/>
      <c r="M42" s="4" t="n"/>
      <c r="N42" s="4" t="n"/>
      <c r="O42" s="4" t="n"/>
      <c r="P42" s="4" t="n"/>
      <c r="Q42" s="4" t="n"/>
      <c r="R42" s="4" t="n"/>
      <c r="S42" s="4" t="n"/>
      <c r="T42" s="4" t="n"/>
      <c r="U42" s="4" t="n"/>
      <c r="V42" s="4" t="n"/>
      <c r="W42" s="4" t="n"/>
      <c r="X42" s="4" t="n"/>
      <c r="Y42" s="4" t="n"/>
      <c r="Z42" s="4" t="n"/>
    </row>
    <row r="43" ht="75" customHeight="1" s="22">
      <c r="A43" s="9" t="inlineStr">
        <is>
          <t>Ajuste acordado</t>
        </is>
      </c>
      <c r="B43" s="12" t="inlineStr">
        <is>
          <t>Comprometer en la iteración solo lo que el equipo puede terminar en la semana; ejecutar la aceptación en un navegador real además de las pruebas automatizadas, porque la recarga en web pasó la prueba automatizada y falló en producción; y respetar la asignación de las tareas de prueba al encargado de pruebas.</t>
        </is>
      </c>
      <c r="C43" s="23" t="n"/>
      <c r="D43" s="23" t="n"/>
      <c r="E43" s="24" t="n"/>
      <c r="F43" s="4" t="n"/>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22">
      <c r="A44" s="1" t="n"/>
      <c r="B44" s="1" t="n"/>
      <c r="C44" s="1" t="n"/>
      <c r="D44" s="1" t="n"/>
      <c r="E44" s="1" t="n"/>
      <c r="F44" s="4" t="n"/>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22">
      <c r="A45" s="1" t="n"/>
      <c r="B45" s="1" t="n"/>
      <c r="C45" s="1" t="n"/>
      <c r="D45" s="1" t="n"/>
      <c r="E45" s="1" t="n"/>
      <c r="F45" s="4" t="n"/>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22">
      <c r="A46" s="1" t="n"/>
      <c r="B46" s="1" t="n"/>
      <c r="C46" s="1" t="n"/>
      <c r="D46" s="1" t="n"/>
      <c r="E46" s="1" t="n"/>
      <c r="F46" s="4" t="n"/>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22">
      <c r="A47" s="1" t="n"/>
      <c r="B47" s="1" t="n"/>
      <c r="C47" s="1" t="n"/>
      <c r="D47" s="1" t="n"/>
      <c r="E47" s="1" t="n"/>
      <c r="F47" s="4" t="n"/>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22">
      <c r="A48" s="1" t="n"/>
      <c r="B48" s="1" t="n"/>
      <c r="C48" s="1" t="n"/>
      <c r="D48" s="1" t="n"/>
      <c r="E48" s="1" t="n"/>
      <c r="F48" s="4" t="n"/>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22">
      <c r="A49" s="1" t="n"/>
      <c r="B49" s="1" t="n"/>
      <c r="C49" s="1" t="n"/>
      <c r="D49" s="1" t="n"/>
      <c r="E49" s="1" t="n"/>
      <c r="F49" s="4" t="n"/>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22">
      <c r="A50" s="1" t="n"/>
      <c r="B50" s="1" t="n"/>
      <c r="C50" s="1" t="n"/>
      <c r="D50" s="1" t="n"/>
      <c r="E50" s="1" t="n"/>
      <c r="F50" s="4" t="n"/>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22">
      <c r="A51" s="1" t="n"/>
      <c r="B51" s="1" t="n"/>
      <c r="C51" s="1" t="n"/>
      <c r="D51" s="1" t="n"/>
      <c r="E51" s="1" t="n"/>
      <c r="F51" s="4" t="n"/>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22">
      <c r="A52" s="1" t="n"/>
      <c r="B52" s="1" t="n"/>
      <c r="C52" s="1" t="n"/>
      <c r="D52" s="1" t="n"/>
      <c r="E52" s="1" t="n"/>
      <c r="F52" s="4" t="n"/>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22">
      <c r="A53" s="1" t="n"/>
      <c r="B53" s="1" t="n"/>
      <c r="C53" s="1" t="n"/>
      <c r="D53" s="1" t="n"/>
      <c r="E53" s="1" t="n"/>
      <c r="F53" s="4" t="n"/>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22">
      <c r="A54" s="1" t="n"/>
      <c r="B54" s="1" t="n"/>
      <c r="C54" s="1" t="n"/>
      <c r="D54" s="1" t="n"/>
      <c r="E54" s="1" t="n"/>
      <c r="F54" s="4" t="n"/>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22">
      <c r="A55" s="1" t="n"/>
      <c r="B55" s="1" t="n"/>
      <c r="C55" s="1" t="n"/>
      <c r="D55" s="1" t="n"/>
      <c r="E55" s="1" t="n"/>
      <c r="F55" s="4" t="n"/>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22">
      <c r="A56" s="1" t="n"/>
      <c r="B56" s="1" t="n"/>
      <c r="C56" s="1" t="n"/>
      <c r="D56" s="1" t="n"/>
      <c r="E56" s="1" t="n"/>
      <c r="F56" s="4" t="n"/>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22">
      <c r="A57" s="1" t="n"/>
      <c r="B57" s="1" t="n"/>
      <c r="C57" s="1" t="n"/>
      <c r="D57" s="1" t="n"/>
      <c r="E57" s="1" t="n"/>
      <c r="F57" s="4" t="n"/>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22">
      <c r="A58" s="1" t="n"/>
      <c r="B58" s="1" t="n"/>
      <c r="C58" s="1" t="n"/>
      <c r="D58" s="1" t="n"/>
      <c r="E58" s="1" t="n"/>
      <c r="F58" s="4" t="n"/>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22">
      <c r="A59" s="1" t="n"/>
      <c r="B59" s="1" t="n"/>
      <c r="C59" s="1" t="n"/>
      <c r="D59" s="1" t="n"/>
      <c r="E59" s="1" t="n"/>
      <c r="F59" s="4" t="n"/>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22">
      <c r="A60" s="1" t="n"/>
      <c r="B60" s="1" t="n"/>
      <c r="C60" s="1" t="n"/>
      <c r="D60" s="1" t="n"/>
      <c r="E60" s="1" t="n"/>
      <c r="F60" s="4" t="n"/>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22">
      <c r="A61" s="1" t="n"/>
      <c r="B61" s="1" t="n"/>
      <c r="C61" s="1" t="n"/>
      <c r="D61" s="1" t="n"/>
      <c r="E61" s="1" t="n"/>
      <c r="F61" s="4" t="n"/>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22">
      <c r="A62" s="1" t="n"/>
      <c r="B62" s="1" t="n"/>
      <c r="C62" s="1" t="n"/>
      <c r="D62" s="1" t="n"/>
      <c r="E62" s="1" t="n"/>
      <c r="F62" s="4" t="n"/>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22">
      <c r="A63" s="1" t="n"/>
      <c r="B63" s="1" t="n"/>
      <c r="C63" s="1" t="n"/>
      <c r="D63" s="1" t="n"/>
      <c r="E63" s="1" t="n"/>
      <c r="F63" s="4" t="n"/>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22">
      <c r="A64" s="1" t="n"/>
      <c r="B64" s="1" t="n"/>
      <c r="C64" s="1" t="n"/>
      <c r="D64" s="1" t="n"/>
      <c r="E64" s="1" t="n"/>
      <c r="F64" s="4" t="n"/>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22">
      <c r="A65" s="1" t="n"/>
      <c r="B65" s="1" t="n"/>
      <c r="C65" s="1" t="n"/>
      <c r="D65" s="1" t="n"/>
      <c r="E65" s="1" t="n"/>
      <c r="F65" s="4" t="n"/>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22">
      <c r="A66" s="1" t="n"/>
      <c r="B66" s="1" t="n"/>
      <c r="C66" s="1" t="n"/>
      <c r="D66" s="1" t="n"/>
      <c r="E66" s="1" t="n"/>
      <c r="F66" s="4" t="n"/>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22">
      <c r="A67" s="1" t="n"/>
      <c r="B67" s="1" t="n"/>
      <c r="C67" s="1" t="n"/>
      <c r="D67" s="1" t="n"/>
      <c r="E67" s="1" t="n"/>
      <c r="F67" s="4" t="n"/>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22">
      <c r="A68" s="1" t="n"/>
      <c r="B68" s="1" t="n"/>
      <c r="C68" s="1" t="n"/>
      <c r="D68" s="1" t="n"/>
      <c r="E68" s="1" t="n"/>
      <c r="F68" s="4" t="n"/>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22">
      <c r="A69" s="1" t="n"/>
      <c r="B69" s="1" t="n"/>
      <c r="C69" s="1" t="n"/>
      <c r="D69" s="1" t="n"/>
      <c r="E69" s="1" t="n"/>
      <c r="F69" s="4" t="n"/>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22">
      <c r="A70" s="1" t="n"/>
      <c r="B70" s="1" t="n"/>
      <c r="C70" s="1" t="n"/>
      <c r="D70" s="1" t="n"/>
      <c r="E70" s="1" t="n"/>
      <c r="F70" s="4" t="n"/>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22">
      <c r="A71" s="1" t="n"/>
      <c r="B71" s="1" t="n"/>
      <c r="C71" s="1" t="n"/>
      <c r="D71" s="1" t="n"/>
      <c r="E71" s="1" t="n"/>
      <c r="F71" s="4" t="n"/>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22">
      <c r="A72" s="1" t="n"/>
      <c r="B72" s="1" t="n"/>
      <c r="C72" s="1" t="n"/>
      <c r="D72" s="1" t="n"/>
      <c r="E72" s="1" t="n"/>
      <c r="F72" s="4" t="n"/>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22">
      <c r="A73" s="1" t="n"/>
      <c r="B73" s="1" t="n"/>
      <c r="C73" s="1" t="n"/>
      <c r="D73" s="1" t="n"/>
      <c r="E73" s="1" t="n"/>
      <c r="F73" s="4" t="n"/>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22">
      <c r="A74" s="1" t="n"/>
      <c r="B74" s="1" t="n"/>
      <c r="C74" s="1" t="n"/>
      <c r="D74" s="1" t="n"/>
      <c r="E74" s="1" t="n"/>
      <c r="F74" s="4" t="n"/>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22">
      <c r="A75" s="1" t="n"/>
      <c r="B75" s="1" t="n"/>
      <c r="C75" s="1" t="n"/>
      <c r="D75" s="1" t="n"/>
      <c r="E75" s="1" t="n"/>
      <c r="F75" s="4" t="n"/>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22">
      <c r="A76" s="1" t="n"/>
      <c r="B76" s="1" t="n"/>
      <c r="C76" s="1" t="n"/>
      <c r="D76" s="1" t="n"/>
      <c r="E76" s="1" t="n"/>
      <c r="F76" s="4" t="n"/>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22">
      <c r="A77" s="1" t="n"/>
      <c r="B77" s="1" t="n"/>
      <c r="C77" s="1" t="n"/>
      <c r="D77" s="1" t="n"/>
      <c r="E77" s="1" t="n"/>
      <c r="F77" s="4" t="n"/>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22">
      <c r="A78" s="1" t="n"/>
      <c r="B78" s="1" t="n"/>
      <c r="C78" s="1" t="n"/>
      <c r="D78" s="1" t="n"/>
      <c r="E78" s="1" t="n"/>
      <c r="F78" s="4" t="n"/>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22">
      <c r="A79" s="1" t="n"/>
      <c r="B79" s="1" t="n"/>
      <c r="C79" s="1" t="n"/>
      <c r="D79" s="1" t="n"/>
      <c r="E79" s="1" t="n"/>
      <c r="F79" s="4" t="n"/>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22">
      <c r="A80" s="1" t="n"/>
      <c r="B80" s="1" t="n"/>
      <c r="C80" s="1" t="n"/>
      <c r="D80" s="1" t="n"/>
      <c r="E80" s="1" t="n"/>
      <c r="F80" s="4" t="n"/>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22">
      <c r="A81" s="1" t="n"/>
      <c r="B81" s="1" t="n"/>
      <c r="C81" s="1" t="n"/>
      <c r="D81" s="1" t="n"/>
      <c r="E81" s="1" t="n"/>
      <c r="F81" s="4" t="n"/>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22">
      <c r="A82" s="1" t="n"/>
      <c r="B82" s="1" t="n"/>
      <c r="C82" s="1" t="n"/>
      <c r="D82" s="1" t="n"/>
      <c r="E82" s="1" t="n"/>
      <c r="F82" s="4" t="n"/>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22">
      <c r="A83" s="1" t="n"/>
      <c r="B83" s="1" t="n"/>
      <c r="C83" s="1" t="n"/>
      <c r="D83" s="1" t="n"/>
      <c r="E83" s="1" t="n"/>
      <c r="F83" s="4" t="n"/>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22">
      <c r="A84" s="1" t="n"/>
      <c r="B84" s="1" t="n"/>
      <c r="C84" s="1" t="n"/>
      <c r="D84" s="1" t="n"/>
      <c r="E84" s="1" t="n"/>
      <c r="F84" s="4" t="n"/>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22">
      <c r="A85" s="1" t="n"/>
      <c r="B85" s="1" t="n"/>
      <c r="C85" s="1" t="n"/>
      <c r="D85" s="1" t="n"/>
      <c r="E85" s="1" t="n"/>
      <c r="F85" s="4" t="n"/>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22">
      <c r="A86" s="1" t="n"/>
      <c r="B86" s="1" t="n"/>
      <c r="C86" s="1" t="n"/>
      <c r="D86" s="1" t="n"/>
      <c r="E86" s="1" t="n"/>
      <c r="F86" s="4" t="n"/>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22">
      <c r="A87" s="1" t="n"/>
      <c r="B87" s="1" t="n"/>
      <c r="C87" s="1" t="n"/>
      <c r="D87" s="1" t="n"/>
      <c r="E87" s="1" t="n"/>
      <c r="F87" s="4" t="n"/>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22">
      <c r="A88" s="1" t="n"/>
      <c r="B88" s="1" t="n"/>
      <c r="C88" s="1" t="n"/>
      <c r="D88" s="1" t="n"/>
      <c r="E88" s="1" t="n"/>
      <c r="F88" s="4" t="n"/>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22">
      <c r="A89" s="1" t="n"/>
      <c r="B89" s="1" t="n"/>
      <c r="C89" s="1" t="n"/>
      <c r="D89" s="1" t="n"/>
      <c r="E89" s="1" t="n"/>
      <c r="F89" s="4" t="n"/>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22">
      <c r="A90" s="1" t="n"/>
      <c r="B90" s="1" t="n"/>
      <c r="C90" s="1" t="n"/>
      <c r="D90" s="1" t="n"/>
      <c r="E90" s="1" t="n"/>
      <c r="F90" s="4" t="n"/>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22">
      <c r="A91" s="1" t="n"/>
      <c r="B91" s="1" t="n"/>
      <c r="C91" s="1" t="n"/>
      <c r="D91" s="1" t="n"/>
      <c r="E91" s="1" t="n"/>
      <c r="F91" s="4" t="n"/>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22">
      <c r="A92" s="1" t="n"/>
      <c r="B92" s="1" t="n"/>
      <c r="C92" s="1" t="n"/>
      <c r="D92" s="1" t="n"/>
      <c r="E92" s="1" t="n"/>
      <c r="F92" s="4" t="n"/>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22">
      <c r="A93" s="1" t="n"/>
      <c r="B93" s="1" t="n"/>
      <c r="C93" s="1" t="n"/>
      <c r="D93" s="1" t="n"/>
      <c r="E93" s="1" t="n"/>
      <c r="F93" s="4" t="n"/>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22">
      <c r="A94" s="1" t="n"/>
      <c r="B94" s="1" t="n"/>
      <c r="C94" s="1" t="n"/>
      <c r="D94" s="1" t="n"/>
      <c r="E94" s="1" t="n"/>
      <c r="F94" s="4" t="n"/>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22">
      <c r="A95" s="1" t="n"/>
      <c r="B95" s="1" t="n"/>
      <c r="C95" s="1" t="n"/>
      <c r="D95" s="1" t="n"/>
      <c r="E95" s="1" t="n"/>
      <c r="F95" s="4" t="n"/>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22">
      <c r="A96" s="1" t="n"/>
      <c r="B96" s="1" t="n"/>
      <c r="C96" s="1" t="n"/>
      <c r="D96" s="1" t="n"/>
      <c r="E96" s="1" t="n"/>
      <c r="F96" s="4" t="n"/>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22">
      <c r="A97" s="1" t="n"/>
      <c r="B97" s="1" t="n"/>
      <c r="C97" s="1" t="n"/>
      <c r="D97" s="1" t="n"/>
      <c r="E97" s="1" t="n"/>
      <c r="F97" s="4" t="n"/>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22">
      <c r="A98" s="1" t="n"/>
      <c r="B98" s="1" t="n"/>
      <c r="C98" s="1" t="n"/>
      <c r="D98" s="1" t="n"/>
      <c r="E98" s="1" t="n"/>
      <c r="F98" s="4" t="n"/>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22">
      <c r="A99" s="1" t="n"/>
      <c r="B99" s="1" t="n"/>
      <c r="C99" s="1" t="n"/>
      <c r="D99" s="1" t="n"/>
      <c r="E99" s="1" t="n"/>
      <c r="F99" s="4" t="n"/>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22">
      <c r="A100" s="1" t="n"/>
      <c r="B100" s="1" t="n"/>
      <c r="C100" s="1" t="n"/>
      <c r="D100" s="1" t="n"/>
      <c r="E100" s="1" t="n"/>
      <c r="F100" s="4" t="n"/>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22">
      <c r="A101" s="1" t="n"/>
      <c r="B101" s="1" t="n"/>
      <c r="C101" s="1" t="n"/>
      <c r="D101" s="1" t="n"/>
      <c r="E101" s="1" t="n"/>
      <c r="F101" s="4" t="n"/>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22">
      <c r="A102" s="1" t="n"/>
      <c r="B102" s="1" t="n"/>
      <c r="C102" s="1" t="n"/>
      <c r="D102" s="1" t="n"/>
      <c r="E102" s="1" t="n"/>
      <c r="F102" s="4" t="n"/>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22">
      <c r="A103" s="1" t="n"/>
      <c r="B103" s="1" t="n"/>
      <c r="C103" s="1" t="n"/>
      <c r="D103" s="1" t="n"/>
      <c r="E103" s="1" t="n"/>
      <c r="F103" s="4" t="n"/>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22">
      <c r="A104" s="1" t="n"/>
      <c r="B104" s="1" t="n"/>
      <c r="C104" s="1" t="n"/>
      <c r="D104" s="1" t="n"/>
      <c r="E104" s="1" t="n"/>
      <c r="F104" s="4" t="n"/>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22">
      <c r="A105" s="1" t="n"/>
      <c r="B105" s="1" t="n"/>
      <c r="C105" s="1" t="n"/>
      <c r="D105" s="1" t="n"/>
      <c r="E105" s="1" t="n"/>
      <c r="F105" s="4" t="n"/>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22">
      <c r="A106" s="1" t="n"/>
      <c r="B106" s="1" t="n"/>
      <c r="C106" s="1" t="n"/>
      <c r="D106" s="1" t="n"/>
      <c r="E106" s="1" t="n"/>
      <c r="F106" s="4" t="n"/>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22">
      <c r="A107" s="1" t="n"/>
      <c r="B107" s="1" t="n"/>
      <c r="C107" s="1" t="n"/>
      <c r="D107" s="1" t="n"/>
      <c r="E107" s="1" t="n"/>
      <c r="F107" s="4" t="n"/>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22">
      <c r="A108" s="1" t="n"/>
      <c r="B108" s="1" t="n"/>
      <c r="C108" s="1" t="n"/>
      <c r="D108" s="1" t="n"/>
      <c r="E108" s="1" t="n"/>
      <c r="F108" s="4" t="n"/>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22">
      <c r="A109" s="1" t="n"/>
      <c r="B109" s="1" t="n"/>
      <c r="C109" s="1" t="n"/>
      <c r="D109" s="1" t="n"/>
      <c r="E109" s="1" t="n"/>
      <c r="F109" s="4" t="n"/>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22">
      <c r="A110" s="1" t="n"/>
      <c r="B110" s="1" t="n"/>
      <c r="C110" s="1" t="n"/>
      <c r="D110" s="1" t="n"/>
      <c r="E110" s="1" t="n"/>
      <c r="F110" s="4" t="n"/>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22">
      <c r="A111" s="1" t="n"/>
      <c r="B111" s="1" t="n"/>
      <c r="C111" s="1" t="n"/>
      <c r="D111" s="1" t="n"/>
      <c r="E111" s="1" t="n"/>
      <c r="F111" s="4" t="n"/>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22">
      <c r="A112" s="1" t="n"/>
      <c r="B112" s="1" t="n"/>
      <c r="C112" s="1" t="n"/>
      <c r="D112" s="1" t="n"/>
      <c r="E112" s="1" t="n"/>
      <c r="F112" s="4" t="n"/>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22">
      <c r="A113" s="1" t="n"/>
      <c r="B113" s="1" t="n"/>
      <c r="C113" s="1" t="n"/>
      <c r="D113" s="1" t="n"/>
      <c r="E113" s="1" t="n"/>
      <c r="F113" s="4" t="n"/>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22">
      <c r="A114" s="1" t="n"/>
      <c r="B114" s="1" t="n"/>
      <c r="C114" s="1" t="n"/>
      <c r="D114" s="1" t="n"/>
      <c r="E114" s="1" t="n"/>
      <c r="F114" s="4" t="n"/>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22">
      <c r="A115" s="1" t="n"/>
      <c r="B115" s="1" t="n"/>
      <c r="C115" s="1" t="n"/>
      <c r="D115" s="1" t="n"/>
      <c r="E115" s="1" t="n"/>
      <c r="F115" s="4" t="n"/>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22">
      <c r="A116" s="1" t="n"/>
      <c r="B116" s="1" t="n"/>
      <c r="C116" s="1" t="n"/>
      <c r="D116" s="1" t="n"/>
      <c r="E116" s="1" t="n"/>
      <c r="F116" s="4" t="n"/>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22">
      <c r="A117" s="1" t="n"/>
      <c r="B117" s="1" t="n"/>
      <c r="C117" s="1" t="n"/>
      <c r="D117" s="1" t="n"/>
      <c r="E117" s="1" t="n"/>
      <c r="F117" s="4" t="n"/>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22">
      <c r="A118" s="1" t="n"/>
      <c r="B118" s="1" t="n"/>
      <c r="C118" s="1" t="n"/>
      <c r="D118" s="1" t="n"/>
      <c r="E118" s="1" t="n"/>
      <c r="F118" s="4" t="n"/>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22">
      <c r="A119" s="1" t="n"/>
      <c r="B119" s="1" t="n"/>
      <c r="C119" s="1" t="n"/>
      <c r="D119" s="1" t="n"/>
      <c r="E119" s="1" t="n"/>
      <c r="F119" s="4" t="n"/>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22">
      <c r="A120" s="1" t="n"/>
      <c r="B120" s="1" t="n"/>
      <c r="C120" s="1" t="n"/>
      <c r="D120" s="1" t="n"/>
      <c r="E120" s="1" t="n"/>
      <c r="F120" s="4" t="n"/>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22">
      <c r="A121" s="1" t="n"/>
      <c r="B121" s="1" t="n"/>
      <c r="C121" s="1" t="n"/>
      <c r="D121" s="1" t="n"/>
      <c r="E121" s="1" t="n"/>
      <c r="F121" s="4" t="n"/>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22">
      <c r="A122" s="1" t="n"/>
      <c r="B122" s="1" t="n"/>
      <c r="C122" s="1" t="n"/>
      <c r="D122" s="1" t="n"/>
      <c r="E122" s="1" t="n"/>
      <c r="F122" s="4" t="n"/>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22">
      <c r="A123" s="1" t="n"/>
      <c r="B123" s="1" t="n"/>
      <c r="C123" s="1" t="n"/>
      <c r="D123" s="1" t="n"/>
      <c r="E123" s="1" t="n"/>
      <c r="F123" s="4" t="n"/>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22">
      <c r="A124" s="1" t="n"/>
      <c r="B124" s="1" t="n"/>
      <c r="C124" s="1" t="n"/>
      <c r="D124" s="1" t="n"/>
      <c r="E124" s="1" t="n"/>
      <c r="F124" s="4" t="n"/>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22">
      <c r="A125" s="1" t="n"/>
      <c r="B125" s="1" t="n"/>
      <c r="C125" s="1" t="n"/>
      <c r="D125" s="1" t="n"/>
      <c r="E125" s="1" t="n"/>
      <c r="F125" s="4" t="n"/>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22">
      <c r="A126" s="1" t="n"/>
      <c r="B126" s="1" t="n"/>
      <c r="C126" s="1" t="n"/>
      <c r="D126" s="1" t="n"/>
      <c r="E126" s="1" t="n"/>
      <c r="F126" s="4" t="n"/>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22">
      <c r="A127" s="1" t="n"/>
      <c r="B127" s="1" t="n"/>
      <c r="C127" s="1" t="n"/>
      <c r="D127" s="1" t="n"/>
      <c r="E127" s="1" t="n"/>
      <c r="F127" s="4" t="n"/>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22">
      <c r="A128" s="1" t="n"/>
      <c r="B128" s="1" t="n"/>
      <c r="C128" s="1" t="n"/>
      <c r="D128" s="1" t="n"/>
      <c r="E128" s="1" t="n"/>
      <c r="F128" s="4" t="n"/>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22">
      <c r="A129" s="1" t="n"/>
      <c r="B129" s="1" t="n"/>
      <c r="C129" s="1" t="n"/>
      <c r="D129" s="1" t="n"/>
      <c r="E129" s="1" t="n"/>
      <c r="F129" s="4" t="n"/>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22">
      <c r="A130" s="1" t="n"/>
      <c r="B130" s="1" t="n"/>
      <c r="C130" s="1" t="n"/>
      <c r="D130" s="1" t="n"/>
      <c r="E130" s="1" t="n"/>
      <c r="F130" s="4" t="n"/>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22">
      <c r="A131" s="1" t="n"/>
      <c r="B131" s="1" t="n"/>
      <c r="C131" s="1" t="n"/>
      <c r="D131" s="1" t="n"/>
      <c r="E131" s="1" t="n"/>
      <c r="F131" s="4" t="n"/>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22">
      <c r="A132" s="1" t="n"/>
      <c r="B132" s="1" t="n"/>
      <c r="C132" s="1" t="n"/>
      <c r="D132" s="1" t="n"/>
      <c r="E132" s="1" t="n"/>
      <c r="F132" s="4" t="n"/>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22">
      <c r="A133" s="1" t="n"/>
      <c r="B133" s="1" t="n"/>
      <c r="C133" s="1" t="n"/>
      <c r="D133" s="1" t="n"/>
      <c r="E133" s="1" t="n"/>
      <c r="F133" s="4" t="n"/>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22">
      <c r="A134" s="1" t="n"/>
      <c r="B134" s="1" t="n"/>
      <c r="C134" s="1" t="n"/>
      <c r="D134" s="1" t="n"/>
      <c r="E134" s="1" t="n"/>
      <c r="F134" s="4" t="n"/>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22">
      <c r="A135" s="1" t="n"/>
      <c r="B135" s="1" t="n"/>
      <c r="C135" s="1" t="n"/>
      <c r="D135" s="1" t="n"/>
      <c r="E135" s="1" t="n"/>
      <c r="F135" s="4" t="n"/>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22">
      <c r="A136" s="1" t="n"/>
      <c r="B136" s="1" t="n"/>
      <c r="C136" s="1" t="n"/>
      <c r="D136" s="1" t="n"/>
      <c r="E136" s="1" t="n"/>
      <c r="F136" s="4" t="n"/>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22">
      <c r="A137" s="1" t="n"/>
      <c r="B137" s="1" t="n"/>
      <c r="C137" s="1" t="n"/>
      <c r="D137" s="1" t="n"/>
      <c r="E137" s="1" t="n"/>
      <c r="F137" s="4" t="n"/>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22">
      <c r="A138" s="1" t="n"/>
      <c r="B138" s="1" t="n"/>
      <c r="C138" s="1" t="n"/>
      <c r="D138" s="1" t="n"/>
      <c r="E138" s="1" t="n"/>
      <c r="F138" s="4" t="n"/>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22">
      <c r="A139" s="1" t="n"/>
      <c r="B139" s="1" t="n"/>
      <c r="C139" s="1" t="n"/>
      <c r="D139" s="1" t="n"/>
      <c r="E139" s="1" t="n"/>
      <c r="F139" s="4" t="n"/>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22">
      <c r="A140" s="1" t="n"/>
      <c r="B140" s="1" t="n"/>
      <c r="C140" s="1" t="n"/>
      <c r="D140" s="1" t="n"/>
      <c r="E140" s="1" t="n"/>
      <c r="F140" s="4" t="n"/>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22">
      <c r="A141" s="1" t="n"/>
      <c r="B141" s="1" t="n"/>
      <c r="C141" s="1" t="n"/>
      <c r="D141" s="1" t="n"/>
      <c r="E141" s="1" t="n"/>
      <c r="F141" s="4" t="n"/>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22">
      <c r="A142" s="1" t="n"/>
      <c r="B142" s="1" t="n"/>
      <c r="C142" s="1" t="n"/>
      <c r="D142" s="1" t="n"/>
      <c r="E142" s="1" t="n"/>
      <c r="F142" s="4" t="n"/>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22">
      <c r="A143" s="1" t="n"/>
      <c r="B143" s="1" t="n"/>
      <c r="C143" s="1" t="n"/>
      <c r="D143" s="1" t="n"/>
      <c r="E143" s="1" t="n"/>
      <c r="F143" s="4" t="n"/>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22">
      <c r="A144" s="1" t="n"/>
      <c r="B144" s="1" t="n"/>
      <c r="C144" s="1" t="n"/>
      <c r="D144" s="1" t="n"/>
      <c r="E144" s="1" t="n"/>
      <c r="F144" s="4" t="n"/>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22">
      <c r="A145" s="1" t="n"/>
      <c r="B145" s="1" t="n"/>
      <c r="C145" s="1" t="n"/>
      <c r="D145" s="1" t="n"/>
      <c r="E145" s="1" t="n"/>
      <c r="F145" s="4" t="n"/>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22">
      <c r="A146" s="1" t="n"/>
      <c r="B146" s="1" t="n"/>
      <c r="C146" s="1" t="n"/>
      <c r="D146" s="1" t="n"/>
      <c r="E146" s="1" t="n"/>
      <c r="F146" s="4" t="n"/>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22">
      <c r="A147" s="1" t="n"/>
      <c r="B147" s="1" t="n"/>
      <c r="C147" s="1" t="n"/>
      <c r="D147" s="1" t="n"/>
      <c r="E147" s="1" t="n"/>
      <c r="F147" s="4" t="n"/>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22">
      <c r="A148" s="1" t="n"/>
      <c r="B148" s="1" t="n"/>
      <c r="C148" s="1" t="n"/>
      <c r="D148" s="1" t="n"/>
      <c r="E148" s="1" t="n"/>
      <c r="F148" s="4" t="n"/>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22">
      <c r="A149" s="1" t="n"/>
      <c r="B149" s="1" t="n"/>
      <c r="C149" s="1" t="n"/>
      <c r="D149" s="1" t="n"/>
      <c r="E149" s="1" t="n"/>
      <c r="F149" s="4" t="n"/>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22">
      <c r="A150" s="1" t="n"/>
      <c r="B150" s="1" t="n"/>
      <c r="C150" s="1" t="n"/>
      <c r="D150" s="1" t="n"/>
      <c r="E150" s="1" t="n"/>
      <c r="F150" s="4" t="n"/>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22">
      <c r="A151" s="1" t="n"/>
      <c r="B151" s="1" t="n"/>
      <c r="C151" s="1" t="n"/>
      <c r="D151" s="1" t="n"/>
      <c r="E151" s="1" t="n"/>
      <c r="F151" s="4" t="n"/>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22">
      <c r="A152" s="1" t="n"/>
      <c r="B152" s="1" t="n"/>
      <c r="C152" s="1" t="n"/>
      <c r="D152" s="1" t="n"/>
      <c r="E152" s="1" t="n"/>
      <c r="F152" s="4" t="n"/>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22">
      <c r="A153" s="1" t="n"/>
      <c r="B153" s="1" t="n"/>
      <c r="C153" s="1" t="n"/>
      <c r="D153" s="1" t="n"/>
      <c r="E153" s="1" t="n"/>
      <c r="F153" s="4" t="n"/>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22">
      <c r="A154" s="1" t="n"/>
      <c r="B154" s="1" t="n"/>
      <c r="C154" s="1" t="n"/>
      <c r="D154" s="1" t="n"/>
      <c r="E154" s="1" t="n"/>
      <c r="F154" s="4" t="n"/>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22">
      <c r="A155" s="1" t="n"/>
      <c r="B155" s="1" t="n"/>
      <c r="C155" s="1" t="n"/>
      <c r="D155" s="1" t="n"/>
      <c r="E155" s="1" t="n"/>
      <c r="F155" s="4" t="n"/>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22">
      <c r="A156" s="1" t="n"/>
      <c r="B156" s="1" t="n"/>
      <c r="C156" s="1" t="n"/>
      <c r="D156" s="1" t="n"/>
      <c r="E156" s="1" t="n"/>
      <c r="F156" s="4" t="n"/>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22">
      <c r="A157" s="1" t="n"/>
      <c r="B157" s="1" t="n"/>
      <c r="C157" s="1" t="n"/>
      <c r="D157" s="1" t="n"/>
      <c r="E157" s="1" t="n"/>
      <c r="F157" s="4" t="n"/>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22">
      <c r="A158" s="1" t="n"/>
      <c r="B158" s="1" t="n"/>
      <c r="C158" s="1" t="n"/>
      <c r="D158" s="1" t="n"/>
      <c r="E158" s="1" t="n"/>
      <c r="F158" s="4" t="n"/>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22">
      <c r="A159" s="1" t="n"/>
      <c r="B159" s="1" t="n"/>
      <c r="C159" s="1" t="n"/>
      <c r="D159" s="1" t="n"/>
      <c r="E159" s="1" t="n"/>
      <c r="F159" s="4" t="n"/>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22">
      <c r="A160" s="1" t="n"/>
      <c r="B160" s="1" t="n"/>
      <c r="C160" s="1" t="n"/>
      <c r="D160" s="1" t="n"/>
      <c r="E160" s="1" t="n"/>
      <c r="F160" s="4" t="n"/>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22">
      <c r="A161" s="1" t="n"/>
      <c r="B161" s="1" t="n"/>
      <c r="C161" s="1" t="n"/>
      <c r="D161" s="1" t="n"/>
      <c r="E161" s="1" t="n"/>
      <c r="F161" s="4" t="n"/>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22">
      <c r="A162" s="1" t="n"/>
      <c r="B162" s="1" t="n"/>
      <c r="C162" s="1" t="n"/>
      <c r="D162" s="1" t="n"/>
      <c r="E162" s="1" t="n"/>
      <c r="F162" s="4" t="n"/>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22">
      <c r="A163" s="1" t="n"/>
      <c r="B163" s="1" t="n"/>
      <c r="C163" s="1" t="n"/>
      <c r="D163" s="1" t="n"/>
      <c r="E163" s="1" t="n"/>
      <c r="F163" s="4" t="n"/>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22">
      <c r="A164" s="1" t="n"/>
      <c r="B164" s="1" t="n"/>
      <c r="C164" s="1" t="n"/>
      <c r="D164" s="1" t="n"/>
      <c r="E164" s="1" t="n"/>
      <c r="F164" s="4" t="n"/>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22">
      <c r="A165" s="1" t="n"/>
      <c r="B165" s="1" t="n"/>
      <c r="C165" s="1" t="n"/>
      <c r="D165" s="1" t="n"/>
      <c r="E165" s="1" t="n"/>
      <c r="F165" s="4" t="n"/>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22">
      <c r="A166" s="1" t="n"/>
      <c r="B166" s="1" t="n"/>
      <c r="C166" s="1" t="n"/>
      <c r="D166" s="1" t="n"/>
      <c r="E166" s="1" t="n"/>
      <c r="F166" s="4" t="n"/>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22">
      <c r="A167" s="1" t="n"/>
      <c r="B167" s="1" t="n"/>
      <c r="C167" s="1" t="n"/>
      <c r="D167" s="1" t="n"/>
      <c r="E167" s="1" t="n"/>
      <c r="F167" s="4" t="n"/>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22">
      <c r="A168" s="1" t="n"/>
      <c r="B168" s="1" t="n"/>
      <c r="C168" s="1" t="n"/>
      <c r="D168" s="1" t="n"/>
      <c r="E168" s="1" t="n"/>
      <c r="F168" s="4" t="n"/>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22">
      <c r="A169" s="1" t="n"/>
      <c r="B169" s="1" t="n"/>
      <c r="C169" s="1" t="n"/>
      <c r="D169" s="1" t="n"/>
      <c r="E169" s="1" t="n"/>
      <c r="F169" s="4" t="n"/>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22">
      <c r="A170" s="1" t="n"/>
      <c r="B170" s="1" t="n"/>
      <c r="C170" s="1" t="n"/>
      <c r="D170" s="1" t="n"/>
      <c r="E170" s="1" t="n"/>
      <c r="F170" s="4" t="n"/>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22">
      <c r="A171" s="1" t="n"/>
      <c r="B171" s="1" t="n"/>
      <c r="C171" s="1" t="n"/>
      <c r="D171" s="1" t="n"/>
      <c r="E171" s="1" t="n"/>
      <c r="F171" s="4" t="n"/>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22">
      <c r="A172" s="1" t="n"/>
      <c r="B172" s="1" t="n"/>
      <c r="C172" s="1" t="n"/>
      <c r="D172" s="1" t="n"/>
      <c r="E172" s="1" t="n"/>
      <c r="F172" s="4" t="n"/>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22">
      <c r="A173" s="1" t="n"/>
      <c r="B173" s="1" t="n"/>
      <c r="C173" s="1" t="n"/>
      <c r="D173" s="1" t="n"/>
      <c r="E173" s="1" t="n"/>
      <c r="F173" s="4" t="n"/>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22">
      <c r="A174" s="1" t="n"/>
      <c r="B174" s="1" t="n"/>
      <c r="C174" s="1" t="n"/>
      <c r="D174" s="1" t="n"/>
      <c r="E174" s="1" t="n"/>
      <c r="F174" s="4" t="n"/>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22">
      <c r="A175" s="1" t="n"/>
      <c r="B175" s="1" t="n"/>
      <c r="C175" s="1" t="n"/>
      <c r="D175" s="1" t="n"/>
      <c r="E175" s="1" t="n"/>
      <c r="F175" s="4" t="n"/>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22">
      <c r="A176" s="1" t="n"/>
      <c r="B176" s="1" t="n"/>
      <c r="C176" s="1" t="n"/>
      <c r="D176" s="1" t="n"/>
      <c r="E176" s="1" t="n"/>
      <c r="F176" s="4" t="n"/>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22">
      <c r="A177" s="1" t="n"/>
      <c r="B177" s="1" t="n"/>
      <c r="C177" s="1" t="n"/>
      <c r="D177" s="1" t="n"/>
      <c r="E177" s="1"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22">
      <c r="A178" s="1" t="n"/>
      <c r="B178" s="1" t="n"/>
      <c r="C178" s="1" t="n"/>
      <c r="D178" s="1" t="n"/>
      <c r="E178" s="1" t="n"/>
      <c r="F178" s="4" t="n"/>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22">
      <c r="A179" s="1" t="n"/>
      <c r="B179" s="1" t="n"/>
      <c r="C179" s="1" t="n"/>
      <c r="D179" s="1" t="n"/>
      <c r="E179" s="1" t="n"/>
      <c r="F179" s="4" t="n"/>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22">
      <c r="A180" s="1" t="n"/>
      <c r="B180" s="1" t="n"/>
      <c r="C180" s="1" t="n"/>
      <c r="D180" s="1" t="n"/>
      <c r="E180" s="1" t="n"/>
      <c r="F180" s="4" t="n"/>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22">
      <c r="A181" s="1" t="n"/>
      <c r="B181" s="1" t="n"/>
      <c r="C181" s="1" t="n"/>
      <c r="D181" s="1" t="n"/>
      <c r="E181" s="1" t="n"/>
      <c r="F181" s="4" t="n"/>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22">
      <c r="A182" s="1" t="n"/>
      <c r="B182" s="1" t="n"/>
      <c r="C182" s="1" t="n"/>
      <c r="D182" s="1" t="n"/>
      <c r="E182" s="1" t="n"/>
      <c r="F182" s="4" t="n"/>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22">
      <c r="A183" s="1" t="n"/>
      <c r="B183" s="1" t="n"/>
      <c r="C183" s="1" t="n"/>
      <c r="D183" s="1" t="n"/>
      <c r="E183" s="1" t="n"/>
      <c r="F183" s="4" t="n"/>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22">
      <c r="A184" s="1" t="n"/>
      <c r="B184" s="1" t="n"/>
      <c r="C184" s="1" t="n"/>
      <c r="D184" s="1" t="n"/>
      <c r="E184" s="1" t="n"/>
      <c r="F184" s="4" t="n"/>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22">
      <c r="A185" s="1" t="n"/>
      <c r="B185" s="1" t="n"/>
      <c r="C185" s="1" t="n"/>
      <c r="D185" s="1" t="n"/>
      <c r="E185" s="1" t="n"/>
      <c r="F185" s="4" t="n"/>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22">
      <c r="A186" s="1" t="n"/>
      <c r="B186" s="1" t="n"/>
      <c r="C186" s="1" t="n"/>
      <c r="D186" s="1" t="n"/>
      <c r="E186" s="1" t="n"/>
      <c r="F186" s="4" t="n"/>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22">
      <c r="A187" s="1" t="n"/>
      <c r="B187" s="1" t="n"/>
      <c r="C187" s="1" t="n"/>
      <c r="D187" s="1" t="n"/>
      <c r="E187" s="1" t="n"/>
      <c r="F187" s="4" t="n"/>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22">
      <c r="A188" s="1" t="n"/>
      <c r="B188" s="1" t="n"/>
      <c r="C188" s="1" t="n"/>
      <c r="D188" s="1" t="n"/>
      <c r="E188" s="1" t="n"/>
      <c r="F188" s="4" t="n"/>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22">
      <c r="A189" s="1" t="n"/>
      <c r="B189" s="1" t="n"/>
      <c r="C189" s="1" t="n"/>
      <c r="D189" s="1" t="n"/>
      <c r="E189" s="1" t="n"/>
      <c r="F189" s="4" t="n"/>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22">
      <c r="A190" s="1" t="n"/>
      <c r="B190" s="1" t="n"/>
      <c r="C190" s="1" t="n"/>
      <c r="D190" s="1" t="n"/>
      <c r="E190" s="1" t="n"/>
      <c r="F190" s="4" t="n"/>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22">
      <c r="A191" s="1" t="n"/>
      <c r="B191" s="1" t="n"/>
      <c r="C191" s="1" t="n"/>
      <c r="D191" s="1" t="n"/>
      <c r="E191" s="1" t="n"/>
      <c r="F191" s="4" t="n"/>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22">
      <c r="A192" s="1" t="n"/>
      <c r="B192" s="1" t="n"/>
      <c r="C192" s="1" t="n"/>
      <c r="D192" s="1" t="n"/>
      <c r="E192" s="1" t="n"/>
      <c r="F192" s="4" t="n"/>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22">
      <c r="A193" s="1" t="n"/>
      <c r="B193" s="1" t="n"/>
      <c r="C193" s="1" t="n"/>
      <c r="D193" s="1" t="n"/>
      <c r="E193" s="1" t="n"/>
      <c r="F193" s="4" t="n"/>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22">
      <c r="A194" s="1" t="n"/>
      <c r="B194" s="1" t="n"/>
      <c r="C194" s="1" t="n"/>
      <c r="D194" s="1" t="n"/>
      <c r="E194" s="1" t="n"/>
      <c r="F194" s="4" t="n"/>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22">
      <c r="A195" s="1" t="n"/>
      <c r="B195" s="1" t="n"/>
      <c r="C195" s="1" t="n"/>
      <c r="D195" s="1" t="n"/>
      <c r="E195" s="1" t="n"/>
      <c r="F195" s="4" t="n"/>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22">
      <c r="A196" s="1" t="n"/>
      <c r="B196" s="1" t="n"/>
      <c r="C196" s="1" t="n"/>
      <c r="D196" s="1" t="n"/>
      <c r="E196" s="1" t="n"/>
      <c r="F196" s="4" t="n"/>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22">
      <c r="A197" s="1" t="n"/>
      <c r="B197" s="1" t="n"/>
      <c r="C197" s="1" t="n"/>
      <c r="D197" s="1" t="n"/>
      <c r="E197" s="1" t="n"/>
      <c r="F197" s="4" t="n"/>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22">
      <c r="A198" s="1" t="n"/>
      <c r="B198" s="1" t="n"/>
      <c r="C198" s="1" t="n"/>
      <c r="D198" s="1" t="n"/>
      <c r="E198" s="1" t="n"/>
      <c r="F198" s="4" t="n"/>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22">
      <c r="A199" s="1" t="n"/>
      <c r="B199" s="1" t="n"/>
      <c r="C199" s="1" t="n"/>
      <c r="D199" s="1" t="n"/>
      <c r="E199" s="1" t="n"/>
      <c r="F199" s="4" t="n"/>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22">
      <c r="A200" s="1" t="n"/>
      <c r="B200" s="1" t="n"/>
      <c r="C200" s="1" t="n"/>
      <c r="D200" s="1" t="n"/>
      <c r="E200" s="1" t="n"/>
      <c r="F200" s="4" t="n"/>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22">
      <c r="A201" s="1" t="n"/>
      <c r="B201" s="1" t="n"/>
      <c r="C201" s="1" t="n"/>
      <c r="D201" s="1" t="n"/>
      <c r="E201" s="1" t="n"/>
      <c r="F201" s="4" t="n"/>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22">
      <c r="A202" s="1" t="n"/>
      <c r="B202" s="1" t="n"/>
      <c r="C202" s="1" t="n"/>
      <c r="D202" s="1" t="n"/>
      <c r="E202" s="1" t="n"/>
      <c r="F202" s="4" t="n"/>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22">
      <c r="A203" s="1" t="n"/>
      <c r="B203" s="1" t="n"/>
      <c r="C203" s="1" t="n"/>
      <c r="D203" s="1" t="n"/>
      <c r="E203" s="1" t="n"/>
      <c r="F203" s="4" t="n"/>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22">
      <c r="A204" s="1" t="n"/>
      <c r="B204" s="1" t="n"/>
      <c r="C204" s="1" t="n"/>
      <c r="D204" s="1" t="n"/>
      <c r="E204" s="1" t="n"/>
      <c r="F204" s="4" t="n"/>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22">
      <c r="A205" s="1" t="n"/>
      <c r="B205" s="1" t="n"/>
      <c r="C205" s="1" t="n"/>
      <c r="D205" s="1" t="n"/>
      <c r="E205" s="1" t="n"/>
      <c r="F205" s="4" t="n"/>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22">
      <c r="A206" s="1" t="n"/>
      <c r="B206" s="1" t="n"/>
      <c r="C206" s="1" t="n"/>
      <c r="D206" s="1" t="n"/>
      <c r="E206" s="1" t="n"/>
      <c r="F206" s="4" t="n"/>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22">
      <c r="A207" s="1" t="n"/>
      <c r="B207" s="1" t="n"/>
      <c r="C207" s="1" t="n"/>
      <c r="D207" s="1" t="n"/>
      <c r="E207" s="1" t="n"/>
      <c r="F207" s="4" t="n"/>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22">
      <c r="A208" s="1" t="n"/>
      <c r="B208" s="1" t="n"/>
      <c r="C208" s="1" t="n"/>
      <c r="D208" s="1" t="n"/>
      <c r="E208" s="1" t="n"/>
      <c r="F208" s="4" t="n"/>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22">
      <c r="A209" s="1" t="n"/>
      <c r="B209" s="1" t="n"/>
      <c r="C209" s="1" t="n"/>
      <c r="D209" s="1" t="n"/>
      <c r="E209" s="1" t="n"/>
      <c r="F209" s="4" t="n"/>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22">
      <c r="A210" s="1" t="n"/>
      <c r="B210" s="1" t="n"/>
      <c r="C210" s="1" t="n"/>
      <c r="D210" s="1" t="n"/>
      <c r="E210" s="1" t="n"/>
      <c r="F210" s="4" t="n"/>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22">
      <c r="A211" s="1" t="n"/>
      <c r="B211" s="1" t="n"/>
      <c r="C211" s="1" t="n"/>
      <c r="D211" s="1" t="n"/>
      <c r="E211" s="1" t="n"/>
      <c r="F211" s="4" t="n"/>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22">
      <c r="A212" s="1" t="n"/>
      <c r="B212" s="1" t="n"/>
      <c r="C212" s="1" t="n"/>
      <c r="D212" s="1" t="n"/>
      <c r="E212" s="1" t="n"/>
      <c r="F212" s="4" t="n"/>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22">
      <c r="A213" s="1" t="n"/>
      <c r="B213" s="1" t="n"/>
      <c r="C213" s="1" t="n"/>
      <c r="D213" s="1" t="n"/>
      <c r="E213" s="1" t="n"/>
      <c r="F213" s="4" t="n"/>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22">
      <c r="A214" s="1" t="n"/>
      <c r="B214" s="1" t="n"/>
      <c r="C214" s="1" t="n"/>
      <c r="D214" s="1" t="n"/>
      <c r="E214" s="1" t="n"/>
      <c r="F214" s="4" t="n"/>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22">
      <c r="A215" s="1" t="n"/>
      <c r="B215" s="1" t="n"/>
      <c r="C215" s="1" t="n"/>
      <c r="D215" s="1" t="n"/>
      <c r="E215" s="1" t="n"/>
      <c r="F215" s="4" t="n"/>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22">
      <c r="A216" s="1" t="n"/>
      <c r="B216" s="1" t="n"/>
      <c r="C216" s="1" t="n"/>
      <c r="D216" s="1" t="n"/>
      <c r="E216" s="1" t="n"/>
      <c r="F216" s="4" t="n"/>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22">
      <c r="A217" s="1" t="n"/>
      <c r="B217" s="1" t="n"/>
      <c r="C217" s="1" t="n"/>
      <c r="D217" s="1" t="n"/>
      <c r="E217" s="1" t="n"/>
      <c r="F217" s="4" t="n"/>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22">
      <c r="A218" s="1" t="n"/>
      <c r="B218" s="1" t="n"/>
      <c r="C218" s="1" t="n"/>
      <c r="D218" s="1" t="n"/>
      <c r="E218" s="1" t="n"/>
      <c r="F218" s="4" t="n"/>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22">
      <c r="A219" s="1" t="n"/>
      <c r="B219" s="1" t="n"/>
      <c r="C219" s="1" t="n"/>
      <c r="D219" s="1" t="n"/>
      <c r="E219" s="1" t="n"/>
      <c r="F219" s="4" t="n"/>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22">
      <c r="A220" s="1" t="n"/>
      <c r="B220" s="1" t="n"/>
      <c r="C220" s="1" t="n"/>
      <c r="D220" s="1" t="n"/>
      <c r="E220" s="1" t="n"/>
      <c r="F220" s="4" t="n"/>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22">
      <c r="A221" s="1" t="n"/>
      <c r="B221" s="1" t="n"/>
      <c r="C221" s="1" t="n"/>
      <c r="D221" s="1" t="n"/>
      <c r="E221" s="1" t="n"/>
      <c r="F221" s="4" t="n"/>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22">
      <c r="A222" s="1" t="n"/>
      <c r="B222" s="1" t="n"/>
      <c r="C222" s="1" t="n"/>
      <c r="D222" s="1" t="n"/>
      <c r="E222" s="1" t="n"/>
      <c r="F222" s="4" t="n"/>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22">
      <c r="A223" s="1" t="n"/>
      <c r="B223" s="1" t="n"/>
      <c r="C223" s="1" t="n"/>
      <c r="D223" s="1" t="n"/>
      <c r="E223" s="1" t="n"/>
      <c r="F223" s="4" t="n"/>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22">
      <c r="A224" s="1" t="n"/>
      <c r="B224" s="1" t="n"/>
      <c r="C224" s="1" t="n"/>
      <c r="D224" s="1" t="n"/>
      <c r="E224" s="1" t="n"/>
      <c r="F224" s="4" t="n"/>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22">
      <c r="A225" s="1" t="n"/>
      <c r="B225" s="1" t="n"/>
      <c r="C225" s="1" t="n"/>
      <c r="D225" s="1" t="n"/>
      <c r="E225" s="1" t="n"/>
      <c r="F225" s="4" t="n"/>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22">
      <c r="A226" s="1" t="n"/>
      <c r="B226" s="1" t="n"/>
      <c r="C226" s="1" t="n"/>
      <c r="D226" s="1" t="n"/>
      <c r="E226" s="1"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22">
      <c r="A227" s="1" t="n"/>
      <c r="B227" s="1" t="n"/>
      <c r="C227" s="1" t="n"/>
      <c r="D227" s="1" t="n"/>
      <c r="E227" s="1" t="n"/>
      <c r="F227" s="4" t="n"/>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22">
      <c r="A228" s="1" t="n"/>
      <c r="B228" s="1" t="n"/>
      <c r="C228" s="1" t="n"/>
      <c r="D228" s="1" t="n"/>
      <c r="E228" s="1" t="n"/>
      <c r="F228" s="4" t="n"/>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22">
      <c r="A229" s="1" t="n"/>
      <c r="B229" s="1" t="n"/>
      <c r="C229" s="1" t="n"/>
      <c r="D229" s="1" t="n"/>
      <c r="E229" s="1"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22">
      <c r="A230" s="1" t="n"/>
      <c r="B230" s="1" t="n"/>
      <c r="C230" s="1" t="n"/>
      <c r="D230" s="1" t="n"/>
      <c r="E230" s="1"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22">
      <c r="A231" s="1" t="n"/>
      <c r="B231" s="1" t="n"/>
      <c r="C231" s="1" t="n"/>
      <c r="D231" s="1" t="n"/>
      <c r="E231" s="1"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22">
      <c r="A232" s="1" t="n"/>
      <c r="B232" s="1" t="n"/>
      <c r="C232" s="1" t="n"/>
      <c r="D232" s="1" t="n"/>
      <c r="E232" s="1"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22">
      <c r="A233" s="1" t="n"/>
      <c r="B233" s="1" t="n"/>
      <c r="C233" s="1" t="n"/>
      <c r="D233" s="1" t="n"/>
      <c r="E233" s="1"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22">
      <c r="A234" s="1" t="n"/>
      <c r="B234" s="1" t="n"/>
      <c r="C234" s="1" t="n"/>
      <c r="D234" s="1" t="n"/>
      <c r="E234" s="1" t="n"/>
      <c r="F234" s="4" t="n"/>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22">
      <c r="A235" s="1" t="n"/>
      <c r="B235" s="1" t="n"/>
      <c r="C235" s="1" t="n"/>
      <c r="D235" s="1" t="n"/>
      <c r="E235" s="1" t="n"/>
      <c r="F235" s="4" t="n"/>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22">
      <c r="A236" s="1" t="n"/>
      <c r="B236" s="1" t="n"/>
      <c r="C236" s="1" t="n"/>
      <c r="D236" s="1" t="n"/>
      <c r="E236" s="1" t="n"/>
      <c r="F236" s="4" t="n"/>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22">
      <c r="A237" s="1" t="n"/>
      <c r="B237" s="1" t="n"/>
      <c r="C237" s="1" t="n"/>
      <c r="D237" s="1" t="n"/>
      <c r="E237" s="1" t="n"/>
      <c r="F237" s="4" t="n"/>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22">
      <c r="A238" s="1" t="n"/>
      <c r="B238" s="1" t="n"/>
      <c r="C238" s="1" t="n"/>
      <c r="D238" s="1" t="n"/>
      <c r="E238" s="1" t="n"/>
      <c r="F238" s="4" t="n"/>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22">
      <c r="A239" s="1" t="n"/>
      <c r="B239" s="1" t="n"/>
      <c r="C239" s="1" t="n"/>
      <c r="D239" s="1" t="n"/>
      <c r="E239" s="1" t="n"/>
      <c r="F239" s="4" t="n"/>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22">
      <c r="A240" s="1" t="n"/>
      <c r="B240" s="1" t="n"/>
      <c r="C240" s="1" t="n"/>
      <c r="D240" s="1" t="n"/>
      <c r="E240" s="1" t="n"/>
      <c r="F240" s="4" t="n"/>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22">
      <c r="A241" s="1" t="n"/>
      <c r="B241" s="1" t="n"/>
      <c r="C241" s="1" t="n"/>
      <c r="D241" s="1" t="n"/>
      <c r="E241" s="1" t="n"/>
      <c r="F241" s="4" t="n"/>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22">
      <c r="A242" s="1" t="n"/>
      <c r="B242" s="1" t="n"/>
      <c r="C242" s="1" t="n"/>
      <c r="D242" s="1" t="n"/>
      <c r="E242" s="1" t="n"/>
      <c r="F242" s="4" t="n"/>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22">
      <c r="A243" s="1" t="n"/>
      <c r="B243" s="1" t="n"/>
      <c r="C243" s="1" t="n"/>
      <c r="D243" s="1" t="n"/>
      <c r="E243" s="1"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22">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22">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22">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22">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22">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22">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22">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22">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22">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22">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22">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22">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22">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22">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22">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22">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22">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22">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22">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22">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22">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22">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22">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22">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22">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22">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22">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22">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22">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22">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22">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22">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22">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22">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22">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22">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22">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22">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22">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22">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22">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22">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22">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22">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22">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22">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22">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22">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22">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22">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22">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22">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22">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22">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22">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22">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22">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22">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22">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22">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22">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22">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22">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22">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22">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22">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22">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22">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22">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22">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22">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22">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22">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22">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22">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22">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22">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22">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22">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22">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22">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22">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22">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22">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22">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22">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22">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22">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22">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22">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22">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22">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22">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22">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22">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22">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22">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22">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22">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22">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22">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22">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22">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22">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22">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22">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22">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22">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22">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22">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22">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22">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22">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22">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22">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22">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22">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22">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22">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22">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22">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22">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22">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22">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22">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22">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22">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22">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22">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22">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22">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22">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22">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22">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22">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22">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22">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22">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22">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22">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22">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22">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22">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22">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22">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22">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22">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22">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22">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22">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22">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22">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22">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22">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22">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22">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22">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22">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22">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22">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22">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22">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22">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22">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22">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22">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22">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22">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22">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22">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22">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22">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22">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22">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22">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22">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22">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22">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22">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22">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22">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22">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22">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22">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22">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22">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22">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22">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22">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22">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22">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22">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22">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22">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22">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22">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22">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22">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22">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22">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22">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22">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22">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22">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22">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22">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22">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22">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22">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22">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22">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22">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22">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22">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22">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22">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22">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22">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22">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22">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22">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22">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22">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22">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22">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22">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22">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22">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22">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22">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22">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22">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22">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22">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22">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22">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22">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22">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22">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22">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22">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22">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22">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22">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22">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22">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22">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22">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22">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22">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22">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22">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22">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22">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22">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22">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22">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22">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22">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22">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22">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22">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22">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22">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22">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22">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22">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22">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22">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22">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22">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22">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22">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22">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22">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22">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22">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22">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22">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22">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22">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22">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22">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22">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22">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22">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22">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22">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22">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22">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22">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22">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22">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22">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22">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22">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22">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22">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22">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22">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22">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22">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22">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22">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22">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22">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22">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22">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22">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22">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22">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22">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22">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22">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22">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22">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22">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22">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22">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22">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22">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22">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22">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22">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22">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22">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22">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22">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22">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22">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22">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22">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22">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22">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22">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22">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22">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22">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22">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22">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22">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22">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22">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22">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22">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22">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22">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22">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22">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22">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22">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22">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22">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22">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22">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22">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22">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22">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22">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22">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22">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22">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22">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22">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22">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22">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22">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22">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22">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22">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22">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22">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22">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22">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22">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22">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22">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22">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22">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22">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22">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22">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22">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22">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22">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22">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22">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22">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22">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22">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22">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22">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22">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22">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22">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22">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22">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22">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22">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22">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22">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22">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22">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22">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22">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22">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22">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22">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22">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22">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22">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22">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22">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22">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22">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22">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22">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22">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22">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22">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22">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22">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22">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22">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22">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22">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22">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22">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22">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22">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22">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22">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22">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22">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22">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22">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22">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22">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22">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22">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22">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22">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22">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22">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22">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22">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22">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22">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22">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22">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22">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22">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22">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22">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22">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22">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22">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22">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22">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22">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22">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22">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22">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22">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22">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22">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22">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22">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22">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22">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22">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22">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22">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22">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22">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22">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22">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22">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22">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22">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22">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22">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22">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22">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22">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22">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22">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22">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22">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22">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22">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22">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22">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22">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22">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22">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22">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22">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22">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22">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22">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22">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22">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22">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22">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22">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22">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22">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22">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22">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22">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22">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22">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22">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22">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22">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22">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22">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22">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22">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22">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22">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22">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22">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22">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22">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22">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22">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22">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22">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22">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22">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22">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22">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22">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22">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22">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22">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22">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22">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22">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22">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22">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22">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22">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22">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22">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22">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22">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22">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22">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22">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22">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22">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22">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22">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22">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22">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22">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22">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22">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22">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22">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22">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22">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22">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22">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22">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22">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22">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22">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22">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22">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22">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22">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22">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22">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22">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22">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22">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22">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22">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22">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22">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22">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22">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22">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22">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22">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22">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22">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22">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22">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22">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22">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22">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22">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22">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22">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22">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22">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22">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22">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22">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22">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22">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22">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22">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22">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22">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22">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22">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22">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22">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22">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22">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22">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22">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22">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22">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22">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22">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22">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22">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22">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22">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22">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22">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22">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22">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22">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22">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22">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22">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22">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22">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22">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22">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22">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22">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22">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22">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22">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22">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22">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22">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22">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22">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22">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22">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22">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22">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22">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22">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22">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22">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22">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22">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22">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22">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22">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22">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22">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22">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22">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22">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22">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22">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22">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22">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22">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22">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22">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22">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22">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22">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22">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22">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22">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22">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22">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22">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22">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22">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22">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22">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22">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22">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22">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22">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22">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22">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22">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22">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22">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22">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22">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22">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22">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22">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22">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22">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22">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22">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22">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22">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22">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22">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22">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22">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22">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22">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22">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22">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22">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22">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22">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22">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22">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22">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22">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22">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22">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22">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22">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22">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22">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22">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22">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22">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22">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22">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22">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22">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22">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22">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22">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22">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22">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22">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22">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22">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22">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22">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22">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22">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22">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22">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22">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22">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22">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22">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22">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22">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22">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22">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22">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sheetData>
  <mergeCells count="7">
    <mergeCell ref="B9:E9"/>
    <mergeCell ref="B8:E8"/>
    <mergeCell ref="B43:E43"/>
    <mergeCell ref="B6:E6"/>
    <mergeCell ref="B7:E7"/>
    <mergeCell ref="B5:E5"/>
    <mergeCell ref="B42:E42"/>
  </mergeCells>
  <pageMargins left="0.75" right="0.75" top="1" bottom="1" header="0" footer="0"/>
  <pageSetup orientation="landscape" paperSize="9" fitToHeight="0"/>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Z1000"/>
  <sheetViews>
    <sheetView workbookViewId="0">
      <selection activeCell="A1" sqref="A1"/>
    </sheetView>
  </sheetViews>
  <sheetFormatPr baseColWidth="8" defaultColWidth="14.43" defaultRowHeight="15" customHeight="1"/>
  <cols>
    <col width="10" customWidth="1" style="22" min="1" max="1"/>
    <col width="52" customWidth="1" style="22" min="2" max="2"/>
    <col width="12" customWidth="1" style="22" min="3" max="3"/>
    <col width="22" customWidth="1" style="22" min="4" max="4"/>
    <col width="13" customWidth="1" style="22" min="5" max="5"/>
    <col width="8.710000000000001" customWidth="1" style="22" min="6" max="7"/>
  </cols>
  <sheetData>
    <row r="1" ht="24" customHeight="1" s="22">
      <c r="A1" s="1" t="n"/>
      <c r="B1" s="1" t="n"/>
      <c r="C1" s="2" t="inlineStr">
        <is>
          <t>Plan de la iteración 5</t>
        </is>
      </c>
      <c r="D1" s="3" t="n"/>
      <c r="E1" s="3" t="n"/>
      <c r="F1" s="3" t="n"/>
      <c r="G1" s="3" t="n"/>
      <c r="H1" s="4" t="n"/>
      <c r="I1" s="4" t="n"/>
      <c r="J1" s="4" t="n"/>
      <c r="K1" s="4" t="n"/>
      <c r="L1" s="4" t="n"/>
      <c r="M1" s="4" t="n"/>
      <c r="N1" s="4" t="n"/>
      <c r="O1" s="4" t="n"/>
      <c r="P1" s="4" t="n"/>
      <c r="Q1" s="4" t="n"/>
      <c r="R1" s="4" t="n"/>
      <c r="S1" s="4" t="n"/>
      <c r="T1" s="4" t="n"/>
      <c r="U1" s="4" t="n"/>
      <c r="V1" s="4" t="n"/>
      <c r="W1" s="4" t="n"/>
      <c r="X1" s="4" t="n"/>
      <c r="Y1" s="4" t="n"/>
      <c r="Z1" s="4" t="n"/>
    </row>
    <row r="2" ht="15" customHeight="1" s="22">
      <c r="A2" s="1" t="n"/>
      <c r="B2" s="1" t="n"/>
      <c r="C2" s="5" t="inlineStr">
        <is>
          <t>App móvil Aprueba - Módulo de Preguntas · Grupo 9 · PTY4614 Capstone, sección 002D</t>
        </is>
      </c>
      <c r="D2" s="3" t="n"/>
      <c r="E2" s="3" t="n"/>
      <c r="F2" s="3" t="n"/>
      <c r="G2" s="3" t="n"/>
      <c r="H2" s="4" t="n"/>
      <c r="I2" s="4" t="n"/>
      <c r="J2" s="4" t="n"/>
      <c r="K2" s="4" t="n"/>
      <c r="L2" s="4" t="n"/>
      <c r="M2" s="4" t="n"/>
      <c r="N2" s="4" t="n"/>
      <c r="O2" s="4" t="n"/>
      <c r="P2" s="4" t="n"/>
      <c r="Q2" s="4" t="n"/>
      <c r="R2" s="4" t="n"/>
      <c r="S2" s="4" t="n"/>
      <c r="T2" s="4" t="n"/>
      <c r="U2" s="4" t="n"/>
      <c r="V2" s="4" t="n"/>
      <c r="W2" s="4" t="n"/>
      <c r="X2" s="4" t="n"/>
      <c r="Y2" s="4" t="n"/>
      <c r="Z2" s="4" t="n"/>
    </row>
    <row r="3" ht="15" customHeight="1" s="22">
      <c r="A3" s="1" t="n"/>
      <c r="B3" s="1" t="n"/>
      <c r="C3" s="5" t="inlineStr">
        <is>
          <t>Metodología: Extreme Programming · Versión 1.8 · 18 de octubre de 2026</t>
        </is>
      </c>
      <c r="D3" s="3" t="n"/>
      <c r="E3" s="3" t="n"/>
      <c r="F3" s="3" t="n"/>
      <c r="G3" s="3" t="n"/>
      <c r="H3" s="4" t="n"/>
      <c r="I3" s="4" t="n"/>
      <c r="J3" s="4" t="n"/>
      <c r="K3" s="4" t="n"/>
      <c r="L3" s="4" t="n"/>
      <c r="M3" s="4" t="n"/>
      <c r="N3" s="4" t="n"/>
      <c r="O3" s="4" t="n"/>
      <c r="P3" s="4" t="n"/>
      <c r="Q3" s="4" t="n"/>
      <c r="R3" s="4" t="n"/>
      <c r="S3" s="4" t="n"/>
      <c r="T3" s="4" t="n"/>
      <c r="U3" s="4" t="n"/>
      <c r="V3" s="4" t="n"/>
      <c r="W3" s="4" t="n"/>
      <c r="X3" s="4" t="n"/>
      <c r="Y3" s="4" t="n"/>
      <c r="Z3" s="4" t="n"/>
    </row>
    <row r="4" ht="15" customHeight="1" s="22">
      <c r="A4" s="1" t="n"/>
      <c r="B4" s="1" t="n"/>
      <c r="C4" s="7" t="n"/>
      <c r="D4" s="1" t="n"/>
      <c r="E4" s="1" t="n"/>
      <c r="F4" s="4" t="n"/>
      <c r="G4" s="4" t="n"/>
      <c r="H4" s="4" t="n"/>
      <c r="I4" s="4" t="n"/>
      <c r="J4" s="4" t="n"/>
      <c r="K4" s="4" t="n"/>
      <c r="L4" s="4" t="n"/>
      <c r="M4" s="4" t="n"/>
      <c r="N4" s="4" t="n"/>
      <c r="O4" s="4" t="n"/>
      <c r="P4" s="4" t="n"/>
      <c r="Q4" s="4" t="n"/>
      <c r="R4" s="4" t="n"/>
      <c r="S4" s="4" t="n"/>
      <c r="T4" s="4" t="n"/>
      <c r="U4" s="4" t="n"/>
      <c r="V4" s="4" t="n"/>
      <c r="W4" s="4" t="n"/>
      <c r="X4" s="4" t="n"/>
      <c r="Y4" s="4" t="n"/>
      <c r="Z4" s="4" t="n"/>
    </row>
    <row r="5" ht="15" customHeight="1" s="22">
      <c r="A5" s="9" t="inlineStr">
        <is>
          <t>Semana</t>
        </is>
      </c>
      <c r="B5" s="12" t="inlineStr">
        <is>
          <t>Semana 9</t>
        </is>
      </c>
      <c r="C5" s="23" t="n"/>
      <c r="D5" s="23" t="n"/>
      <c r="E5" s="24" t="n"/>
      <c r="F5" s="4" t="n"/>
      <c r="G5" s="4" t="n"/>
      <c r="H5" s="4" t="n"/>
      <c r="I5" s="4" t="n"/>
      <c r="J5" s="4" t="n"/>
      <c r="K5" s="4" t="n"/>
      <c r="L5" s="4" t="n"/>
      <c r="M5" s="4" t="n"/>
      <c r="N5" s="4" t="n"/>
      <c r="O5" s="4" t="n"/>
      <c r="P5" s="4" t="n"/>
      <c r="Q5" s="4" t="n"/>
      <c r="R5" s="4" t="n"/>
      <c r="S5" s="4" t="n"/>
      <c r="T5" s="4" t="n"/>
      <c r="U5" s="4" t="n"/>
      <c r="V5" s="4" t="n"/>
      <c r="W5" s="4" t="n"/>
      <c r="X5" s="4" t="n"/>
      <c r="Y5" s="4" t="n"/>
      <c r="Z5" s="4" t="n"/>
    </row>
    <row r="6" ht="15" customHeight="1" s="22">
      <c r="A6" s="9" t="inlineStr">
        <is>
          <t>Fechas</t>
        </is>
      </c>
      <c r="B6" s="12" t="inlineStr">
        <is>
          <t>05/10 al 10/10/2026 · aceptación el 10/10/2026</t>
        </is>
      </c>
      <c r="C6" s="23" t="n"/>
      <c r="D6" s="23" t="n"/>
      <c r="E6" s="24" t="n"/>
      <c r="F6" s="4" t="n"/>
      <c r="G6" s="4" t="n"/>
      <c r="H6" s="4" t="n"/>
      <c r="I6" s="4" t="n"/>
      <c r="J6" s="4" t="n"/>
      <c r="K6" s="4" t="n"/>
      <c r="L6" s="4" t="n"/>
      <c r="M6" s="4" t="n"/>
      <c r="N6" s="4" t="n"/>
      <c r="O6" s="4" t="n"/>
      <c r="P6" s="4" t="n"/>
      <c r="Q6" s="4" t="n"/>
      <c r="R6" s="4" t="n"/>
      <c r="S6" s="4" t="n"/>
      <c r="T6" s="4" t="n"/>
      <c r="U6" s="4" t="n"/>
      <c r="V6" s="4" t="n"/>
      <c r="W6" s="4" t="n"/>
      <c r="X6" s="4" t="n"/>
      <c r="Y6" s="4" t="n"/>
      <c r="Z6" s="4" t="n"/>
    </row>
    <row r="7" ht="23.25" customHeight="1" s="22">
      <c r="A7" s="9" t="inlineStr">
        <is>
          <t>Entrega funcional</t>
        </is>
      </c>
      <c r="B7" s="12" t="inlineStr">
        <is>
          <t>Entrega 2</t>
        </is>
      </c>
      <c r="C7" s="23" t="n"/>
      <c r="D7" s="23" t="n"/>
      <c r="E7" s="24" t="n"/>
      <c r="F7" s="4" t="n"/>
      <c r="G7" s="4" t="n"/>
      <c r="H7" s="4" t="n"/>
      <c r="I7" s="4" t="n"/>
      <c r="J7" s="4" t="n"/>
      <c r="K7" s="4" t="n"/>
      <c r="L7" s="4" t="n"/>
      <c r="M7" s="4" t="n"/>
      <c r="N7" s="4" t="n"/>
      <c r="O7" s="4" t="n"/>
      <c r="P7" s="4" t="n"/>
      <c r="Q7" s="4" t="n"/>
      <c r="R7" s="4" t="n"/>
      <c r="S7" s="4" t="n"/>
      <c r="T7" s="4" t="n"/>
      <c r="U7" s="4" t="n"/>
      <c r="V7" s="4" t="n"/>
      <c r="W7" s="4" t="n"/>
      <c r="X7" s="4" t="n"/>
      <c r="Y7" s="4" t="n"/>
      <c r="Z7" s="4" t="n"/>
    </row>
    <row r="8" ht="15" customHeight="1" s="22">
      <c r="A8" s="9" t="inlineStr">
        <is>
          <t>Estado</t>
        </is>
      </c>
      <c r="B8" s="12" t="inlineStr">
        <is>
          <t>Cerrada</t>
        </is>
      </c>
      <c r="C8" s="23" t="n"/>
      <c r="D8" s="23" t="n"/>
      <c r="E8" s="24" t="n"/>
      <c r="F8" s="4" t="n"/>
      <c r="G8" s="4" t="n"/>
      <c r="H8" s="4" t="n"/>
      <c r="I8" s="4" t="n"/>
      <c r="J8" s="4" t="n"/>
      <c r="K8" s="4" t="n"/>
      <c r="L8" s="4" t="n"/>
      <c r="M8" s="4" t="n"/>
      <c r="N8" s="4" t="n"/>
      <c r="O8" s="4" t="n"/>
      <c r="P8" s="4" t="n"/>
      <c r="Q8" s="4" t="n"/>
      <c r="R8" s="4" t="n"/>
      <c r="S8" s="4" t="n"/>
      <c r="T8" s="4" t="n"/>
      <c r="U8" s="4" t="n"/>
      <c r="V8" s="4" t="n"/>
      <c r="W8" s="4" t="n"/>
      <c r="X8" s="4" t="n"/>
      <c r="Y8" s="4" t="n"/>
      <c r="Z8" s="4" t="n"/>
    </row>
    <row r="9" ht="30" customHeight="1" s="22">
      <c r="A9" s="9" t="inlineStr">
        <is>
          <t>Objetivo</t>
        </is>
      </c>
      <c r="B9" s="12" t="inlineStr">
        <is>
          <t>Permitir que el estudiante comprenda su error con la explicación detallada, configurar el formato y la dificultad según su plan, conservar la práctica al recargar en la versión web y dejar el proyecto reproducible en los tres equipos y en contenedores.</t>
        </is>
      </c>
      <c r="C9" s="23" t="n"/>
      <c r="D9" s="23" t="n"/>
      <c r="E9" s="24" t="n"/>
      <c r="F9" s="4" t="n"/>
      <c r="G9" s="4" t="n"/>
      <c r="H9" s="4" t="n"/>
      <c r="I9" s="4" t="n"/>
      <c r="J9" s="4" t="n"/>
      <c r="K9" s="4" t="n"/>
      <c r="L9" s="4" t="n"/>
      <c r="M9" s="4" t="n"/>
      <c r="N9" s="4" t="n"/>
      <c r="O9" s="4" t="n"/>
      <c r="P9" s="4" t="n"/>
      <c r="Q9" s="4" t="n"/>
      <c r="R9" s="4" t="n"/>
      <c r="S9" s="4" t="n"/>
      <c r="T9" s="4" t="n"/>
      <c r="U9" s="4" t="n"/>
      <c r="V9" s="4" t="n"/>
      <c r="W9" s="4" t="n"/>
      <c r="X9" s="4" t="n"/>
      <c r="Y9" s="4" t="n"/>
      <c r="Z9" s="4" t="n"/>
    </row>
    <row r="10">
      <c r="A10" s="1" t="n"/>
      <c r="B10" s="1" t="n"/>
      <c r="C10" s="1" t="n"/>
      <c r="D10" s="1" t="n"/>
      <c r="E10" s="1" t="n"/>
      <c r="F10" s="4" t="n"/>
      <c r="G10" s="4" t="n"/>
      <c r="H10" s="4" t="n"/>
      <c r="I10" s="4" t="n"/>
      <c r="J10" s="4" t="n"/>
      <c r="K10" s="4" t="n"/>
      <c r="L10" s="4" t="n"/>
      <c r="M10" s="4" t="n"/>
      <c r="N10" s="4" t="n"/>
      <c r="O10" s="4" t="n"/>
      <c r="P10" s="4" t="n"/>
      <c r="Q10" s="4" t="n"/>
      <c r="R10" s="4" t="n"/>
      <c r="S10" s="4" t="n"/>
      <c r="T10" s="4" t="n"/>
      <c r="U10" s="4" t="n"/>
      <c r="V10" s="4" t="n"/>
      <c r="W10" s="4" t="n"/>
      <c r="X10" s="4" t="n"/>
      <c r="Y10" s="4" t="n"/>
      <c r="Z10" s="4" t="n"/>
    </row>
    <row r="11" ht="15" customHeight="1" s="22">
      <c r="A11" s="16" t="inlineStr">
        <is>
          <t>Historias comprometidas</t>
        </is>
      </c>
      <c r="B11" s="1" t="n"/>
      <c r="C11" s="1" t="n"/>
      <c r="D11" s="1" t="n"/>
      <c r="E11" s="1" t="n"/>
      <c r="F11" s="4" t="n"/>
      <c r="G11" s="4" t="n"/>
      <c r="H11" s="4" t="n"/>
      <c r="I11" s="4" t="n"/>
      <c r="J11" s="4" t="n"/>
      <c r="K11" s="4" t="n"/>
      <c r="L11" s="4" t="n"/>
      <c r="M11" s="4" t="n"/>
      <c r="N11" s="4" t="n"/>
      <c r="O11" s="4" t="n"/>
      <c r="P11" s="4" t="n"/>
      <c r="Q11" s="4" t="n"/>
      <c r="R11" s="4" t="n"/>
      <c r="S11" s="4" t="n"/>
      <c r="T11" s="4" t="n"/>
      <c r="U11" s="4" t="n"/>
      <c r="V11" s="4" t="n"/>
      <c r="W11" s="4" t="n"/>
      <c r="X11" s="4" t="n"/>
      <c r="Y11" s="4" t="n"/>
      <c r="Z11" s="4" t="n"/>
    </row>
    <row r="12" ht="15" customHeight="1" s="22">
      <c r="A12" s="8" t="inlineStr">
        <is>
          <t>ID</t>
        </is>
      </c>
      <c r="B12" s="8" t="inlineStr">
        <is>
          <t>Historia</t>
        </is>
      </c>
      <c r="C12" s="8" t="inlineStr">
        <is>
          <t>Puntos</t>
        </is>
      </c>
      <c r="D12" s="8" t="inlineStr">
        <is>
          <t>Responsable</t>
        </is>
      </c>
      <c r="E12" s="8" t="inlineStr">
        <is>
          <t>Estado</t>
        </is>
      </c>
      <c r="F12" s="4" t="n"/>
      <c r="G12" s="4" t="n"/>
      <c r="H12" s="4" t="n"/>
      <c r="I12" s="4" t="n"/>
      <c r="J12" s="4" t="n"/>
      <c r="K12" s="4" t="n"/>
      <c r="L12" s="4" t="n"/>
      <c r="M12" s="4" t="n"/>
      <c r="N12" s="4" t="n"/>
      <c r="O12" s="4" t="n"/>
      <c r="P12" s="4" t="n"/>
      <c r="Q12" s="4" t="n"/>
      <c r="R12" s="4" t="n"/>
      <c r="S12" s="4" t="n"/>
      <c r="T12" s="4" t="n"/>
      <c r="U12" s="4" t="n"/>
      <c r="V12" s="4" t="n"/>
      <c r="W12" s="4" t="n"/>
      <c r="X12" s="4" t="n"/>
      <c r="Y12" s="4" t="n"/>
      <c r="Z12" s="4" t="n"/>
    </row>
    <row r="13" ht="15" customHeight="1" s="22">
      <c r="A13" s="15" t="inlineStr">
        <is>
          <t>HU-05</t>
        </is>
      </c>
      <c r="B13" s="12" t="inlineStr">
        <is>
          <t>Explicación detallada</t>
        </is>
      </c>
      <c r="C13" s="15" t="n">
        <v>3</v>
      </c>
      <c r="D13" s="12" t="inlineStr">
        <is>
          <t>Jeremías / Sebastián</t>
        </is>
      </c>
      <c r="E13" s="15" t="inlineStr">
        <is>
          <t>Hecho</t>
        </is>
      </c>
      <c r="F13" s="4" t="n"/>
      <c r="G13" s="4" t="n"/>
      <c r="H13" s="4" t="n"/>
      <c r="I13" s="4" t="n"/>
      <c r="J13" s="4" t="n"/>
      <c r="K13" s="4" t="n"/>
      <c r="L13" s="4" t="n"/>
      <c r="M13" s="4" t="n"/>
      <c r="N13" s="4" t="n"/>
      <c r="O13" s="4" t="n"/>
      <c r="P13" s="4" t="n"/>
      <c r="Q13" s="4" t="n"/>
      <c r="R13" s="4" t="n"/>
      <c r="S13" s="4" t="n"/>
      <c r="T13" s="4" t="n"/>
      <c r="U13" s="4" t="n"/>
      <c r="V13" s="4" t="n"/>
      <c r="W13" s="4" t="n"/>
      <c r="X13" s="4" t="n"/>
      <c r="Y13" s="4" t="n"/>
      <c r="Z13" s="4" t="n"/>
    </row>
    <row r="14" ht="15" customHeight="1" s="22">
      <c r="A14" s="15" t="inlineStr">
        <is>
          <t>HU-12</t>
        </is>
      </c>
      <c r="B14" s="12" t="inlineStr">
        <is>
          <t>Formato y dificultad (orden del facsímil, pendiente de la iteración 4)</t>
        </is>
      </c>
      <c r="C14" s="15" t="n">
        <v>3</v>
      </c>
      <c r="D14" s="12" t="inlineStr">
        <is>
          <t>Jeremías Fernández</t>
        </is>
      </c>
      <c r="E14" s="15" t="inlineStr">
        <is>
          <t>Hecho</t>
        </is>
      </c>
      <c r="F14" s="4" t="n"/>
      <c r="G14" s="4" t="n"/>
      <c r="H14" s="4" t="n"/>
      <c r="I14" s="4" t="n"/>
      <c r="J14" s="4" t="n"/>
      <c r="K14" s="4" t="n"/>
      <c r="L14" s="4" t="n"/>
      <c r="M14" s="4" t="n"/>
      <c r="N14" s="4" t="n"/>
      <c r="O14" s="4" t="n"/>
      <c r="P14" s="4" t="n"/>
      <c r="Q14" s="4" t="n"/>
      <c r="R14" s="4" t="n"/>
      <c r="S14" s="4" t="n"/>
      <c r="T14" s="4" t="n"/>
      <c r="U14" s="4" t="n"/>
      <c r="V14" s="4" t="n"/>
      <c r="W14" s="4" t="n"/>
      <c r="X14" s="4" t="n"/>
      <c r="Y14" s="4" t="n"/>
      <c r="Z14" s="4" t="n"/>
    </row>
    <row r="15" ht="15" customHeight="1" s="22">
      <c r="A15" s="15" t="inlineStr">
        <is>
          <t>HT-06</t>
        </is>
      </c>
      <c r="B15" s="12" t="inlineStr">
        <is>
          <t>Entorno verificado en los tres equipos (pendiente de la iteración 4)</t>
        </is>
      </c>
      <c r="C15" s="15" t="n">
        <v>1</v>
      </c>
      <c r="D15" s="12" t="inlineStr">
        <is>
          <t>Equipo completo</t>
        </is>
      </c>
      <c r="E15" s="15" t="inlineStr">
        <is>
          <t>Hecho</t>
        </is>
      </c>
      <c r="F15" s="4" t="n"/>
      <c r="G15" s="4" t="n"/>
      <c r="H15" s="4" t="n"/>
      <c r="I15" s="4" t="n"/>
      <c r="J15" s="4" t="n"/>
      <c r="K15" s="4" t="n"/>
      <c r="L15" s="4" t="n"/>
      <c r="M15" s="4" t="n"/>
      <c r="N15" s="4" t="n"/>
      <c r="O15" s="4" t="n"/>
      <c r="P15" s="4" t="n"/>
      <c r="Q15" s="4" t="n"/>
      <c r="R15" s="4" t="n"/>
      <c r="S15" s="4" t="n"/>
      <c r="T15" s="4" t="n"/>
      <c r="U15" s="4" t="n"/>
      <c r="V15" s="4" t="n"/>
      <c r="W15" s="4" t="n"/>
      <c r="X15" s="4" t="n"/>
      <c r="Y15" s="4" t="n"/>
      <c r="Z15" s="4" t="n"/>
    </row>
    <row r="16" ht="15" customHeight="1" s="22">
      <c r="A16" s="15" t="inlineStr">
        <is>
          <t>HT-03</t>
        </is>
      </c>
      <c r="B16" s="12" t="inlineStr">
        <is>
          <t>Contenedores Docker (pendiente de la iteración 4)</t>
        </is>
      </c>
      <c r="C16" s="15" t="n">
        <v>3</v>
      </c>
      <c r="D16" s="12" t="inlineStr">
        <is>
          <t>Jeremías Fernández</t>
        </is>
      </c>
      <c r="E16" s="15" t="inlineStr">
        <is>
          <t>Hecho</t>
        </is>
      </c>
      <c r="F16" s="4" t="n"/>
      <c r="G16" s="4" t="n"/>
      <c r="H16" s="4" t="n"/>
      <c r="I16" s="4" t="n"/>
      <c r="J16" s="4" t="n"/>
      <c r="K16" s="4" t="n"/>
      <c r="L16" s="4" t="n"/>
      <c r="M16" s="4" t="n"/>
      <c r="N16" s="4" t="n"/>
      <c r="O16" s="4" t="n"/>
      <c r="P16" s="4" t="n"/>
      <c r="Q16" s="4" t="n"/>
      <c r="R16" s="4" t="n"/>
      <c r="S16" s="4" t="n"/>
      <c r="T16" s="4" t="n"/>
      <c r="U16" s="4" t="n"/>
      <c r="V16" s="4" t="n"/>
      <c r="W16" s="4" t="n"/>
      <c r="X16" s="4" t="n"/>
      <c r="Y16" s="4" t="n"/>
      <c r="Z16" s="4" t="n"/>
    </row>
    <row r="17" ht="15" customHeight="1" s="22">
      <c r="A17" s="1" t="n"/>
      <c r="B17" s="18" t="inlineStr">
        <is>
          <t>Puntos comprometidos</t>
        </is>
      </c>
      <c r="C17" s="21">
        <f>SUMPRODUCT(C13:C16*ISERROR(SEARCH("no planificada",B13:B16)))</f>
        <v/>
      </c>
      <c r="D17" s="1" t="n"/>
      <c r="E17" s="1" t="n"/>
      <c r="F17" s="4" t="n"/>
      <c r="G17" s="4" t="n"/>
      <c r="H17" s="4" t="n"/>
      <c r="I17" s="4" t="n"/>
      <c r="J17" s="4" t="n"/>
      <c r="K17" s="4" t="n"/>
      <c r="L17" s="4" t="n"/>
      <c r="M17" s="4" t="n"/>
      <c r="N17" s="4" t="n"/>
      <c r="O17" s="4" t="n"/>
      <c r="P17" s="4" t="n"/>
      <c r="Q17" s="4" t="n"/>
      <c r="R17" s="4" t="n"/>
      <c r="S17" s="4" t="n"/>
      <c r="T17" s="4" t="n"/>
      <c r="U17" s="4" t="n"/>
      <c r="V17" s="4" t="n"/>
      <c r="W17" s="4" t="n"/>
      <c r="X17" s="4" t="n"/>
      <c r="Y17" s="4" t="n"/>
      <c r="Z17" s="4" t="n"/>
    </row>
    <row r="18" ht="15" customHeight="1" s="22">
      <c r="A18" s="1" t="n"/>
      <c r="B18" s="18" t="inlineStr">
        <is>
          <t>Puntos terminados (velocidad, incluye lo no planificado)</t>
        </is>
      </c>
      <c r="C18" s="21">
        <f>SUMIF(E13:E16,"Hecho",C13:C16)</f>
        <v/>
      </c>
      <c r="D18" s="1" t="n"/>
      <c r="E18" s="1" t="n"/>
      <c r="F18" s="4" t="n"/>
      <c r="G18" s="4" t="n"/>
      <c r="H18" s="4" t="n"/>
      <c r="I18" s="4" t="n"/>
      <c r="J18" s="4" t="n"/>
      <c r="K18" s="4" t="n"/>
      <c r="L18" s="4" t="n"/>
      <c r="M18" s="4" t="n"/>
      <c r="N18" s="4" t="n"/>
      <c r="O18" s="4" t="n"/>
      <c r="P18" s="4" t="n"/>
      <c r="Q18" s="4" t="n"/>
      <c r="R18" s="4" t="n"/>
      <c r="S18" s="4" t="n"/>
      <c r="T18" s="4" t="n"/>
      <c r="U18" s="4" t="n"/>
      <c r="V18" s="4" t="n"/>
      <c r="W18" s="4" t="n"/>
      <c r="X18" s="4" t="n"/>
      <c r="Y18" s="4" t="n"/>
      <c r="Z18" s="4" t="n"/>
    </row>
    <row r="19">
      <c r="A19" s="1" t="n"/>
      <c r="B19" s="1" t="n"/>
      <c r="C19" s="1" t="n"/>
      <c r="D19" s="1" t="n"/>
      <c r="E19" s="1" t="n"/>
      <c r="F19" s="4" t="n"/>
      <c r="G19" s="4" t="n"/>
      <c r="H19" s="4" t="n"/>
      <c r="I19" s="4" t="n"/>
      <c r="J19" s="4" t="n"/>
      <c r="K19" s="4" t="n"/>
      <c r="L19" s="4" t="n"/>
      <c r="M19" s="4" t="n"/>
      <c r="N19" s="4" t="n"/>
      <c r="O19" s="4" t="n"/>
      <c r="P19" s="4" t="n"/>
      <c r="Q19" s="4" t="n"/>
      <c r="R19" s="4" t="n"/>
      <c r="S19" s="4" t="n"/>
      <c r="T19" s="4" t="n"/>
      <c r="U19" s="4" t="n"/>
      <c r="V19" s="4" t="n"/>
      <c r="W19" s="4" t="n"/>
      <c r="X19" s="4" t="n"/>
      <c r="Y19" s="4" t="n"/>
      <c r="Z19" s="4" t="n"/>
    </row>
    <row r="20" ht="15" customHeight="1" s="22">
      <c r="A20" s="16" t="inlineStr">
        <is>
          <t>Tareas</t>
        </is>
      </c>
      <c r="B20" s="1" t="n"/>
      <c r="C20" s="1" t="n"/>
      <c r="D20" s="1" t="n"/>
      <c r="E20" s="1" t="n"/>
      <c r="F20" s="4" t="n"/>
      <c r="G20" s="4" t="n"/>
      <c r="H20" s="4" t="n"/>
      <c r="I20" s="4" t="n"/>
      <c r="J20" s="4" t="n"/>
      <c r="K20" s="4" t="n"/>
      <c r="L20" s="4" t="n"/>
      <c r="M20" s="4" t="n"/>
      <c r="N20" s="4" t="n"/>
      <c r="O20" s="4" t="n"/>
      <c r="P20" s="4" t="n"/>
      <c r="Q20" s="4" t="n"/>
      <c r="R20" s="4" t="n"/>
      <c r="S20" s="4" t="n"/>
      <c r="T20" s="4" t="n"/>
      <c r="U20" s="4" t="n"/>
      <c r="V20" s="4" t="n"/>
      <c r="W20" s="4" t="n"/>
      <c r="X20" s="4" t="n"/>
      <c r="Y20" s="4" t="n"/>
      <c r="Z20" s="4" t="n"/>
    </row>
    <row r="21" ht="15" customHeight="1" s="22">
      <c r="A21" s="8" t="inlineStr">
        <is>
          <t>ID</t>
        </is>
      </c>
      <c r="B21" s="8" t="inlineStr">
        <is>
          <t>Tarea</t>
        </is>
      </c>
      <c r="C21" s="8" t="inlineStr">
        <is>
          <t>Historia</t>
        </is>
      </c>
      <c r="D21" s="8" t="inlineStr">
        <is>
          <t>Responsable</t>
        </is>
      </c>
      <c r="E21" s="8" t="inlineStr">
        <is>
          <t>Estado</t>
        </is>
      </c>
      <c r="F21" s="4" t="n"/>
      <c r="G21" s="4" t="n"/>
      <c r="H21" s="4" t="n"/>
      <c r="I21" s="4" t="n"/>
      <c r="J21" s="4" t="n"/>
      <c r="K21" s="4" t="n"/>
      <c r="L21" s="4" t="n"/>
      <c r="M21" s="4" t="n"/>
      <c r="N21" s="4" t="n"/>
      <c r="O21" s="4" t="n"/>
      <c r="P21" s="4" t="n"/>
      <c r="Q21" s="4" t="n"/>
      <c r="R21" s="4" t="n"/>
      <c r="S21" s="4" t="n"/>
      <c r="T21" s="4" t="n"/>
      <c r="U21" s="4" t="n"/>
      <c r="V21" s="4" t="n"/>
      <c r="W21" s="4" t="n"/>
      <c r="X21" s="4" t="n"/>
      <c r="Y21" s="4" t="n"/>
      <c r="Z21" s="4" t="n"/>
    </row>
    <row r="22" ht="30" customHeight="1" s="22">
      <c r="A22" s="15" t="inlineStr">
        <is>
          <t>T-40</t>
        </is>
      </c>
      <c r="B22" s="12" t="inlineStr">
        <is>
          <t>Servicio GET /questions/{id}/explanation con la explicación estructurada, solo para preguntas ya respondidas</t>
        </is>
      </c>
      <c r="C22" s="15" t="inlineStr">
        <is>
          <t>HU-05</t>
        </is>
      </c>
      <c r="D22" s="12" t="inlineStr">
        <is>
          <t>Jeremías Fernández</t>
        </is>
      </c>
      <c r="E22" s="15" t="inlineStr">
        <is>
          <t>Hecho</t>
        </is>
      </c>
      <c r="F22" s="4" t="n"/>
      <c r="G22" s="4" t="n"/>
      <c r="H22" s="4" t="n"/>
      <c r="I22" s="4" t="n"/>
      <c r="J22" s="4" t="n"/>
      <c r="K22" s="4" t="n"/>
      <c r="L22" s="4" t="n"/>
      <c r="M22" s="4" t="n"/>
      <c r="N22" s="4" t="n"/>
      <c r="O22" s="4" t="n"/>
      <c r="P22" s="4" t="n"/>
      <c r="Q22" s="4" t="n"/>
      <c r="R22" s="4" t="n"/>
      <c r="S22" s="4" t="n"/>
      <c r="T22" s="4" t="n"/>
      <c r="U22" s="4" t="n"/>
      <c r="V22" s="4" t="n"/>
      <c r="W22" s="4" t="n"/>
      <c r="X22" s="4" t="n"/>
      <c r="Y22" s="4" t="n"/>
      <c r="Z22" s="4" t="n"/>
    </row>
    <row r="23" ht="30" customHeight="1" s="22">
      <c r="A23" s="15" t="inlineStr">
        <is>
          <t>T-41</t>
        </is>
      </c>
      <c r="B23" s="12" t="inlineStr">
        <is>
          <t>Construir la pantalla Explicación detallada integrada con el servicio</t>
        </is>
      </c>
      <c r="C23" s="15" t="inlineStr">
        <is>
          <t>HU-05</t>
        </is>
      </c>
      <c r="D23" s="12" t="inlineStr">
        <is>
          <t>Sebastián Acevedo</t>
        </is>
      </c>
      <c r="E23" s="15" t="inlineStr">
        <is>
          <t>Hecho</t>
        </is>
      </c>
      <c r="F23" s="4" t="n"/>
      <c r="G23" s="4" t="n"/>
      <c r="H23" s="4" t="n"/>
      <c r="I23" s="4" t="n"/>
      <c r="J23" s="4" t="n"/>
      <c r="K23" s="4" t="n"/>
      <c r="L23" s="4" t="n"/>
      <c r="M23" s="4" t="n"/>
      <c r="N23" s="4" t="n"/>
      <c r="O23" s="4" t="n"/>
      <c r="P23" s="4" t="n"/>
      <c r="Q23" s="4" t="n"/>
      <c r="R23" s="4" t="n"/>
      <c r="S23" s="4" t="n"/>
      <c r="T23" s="4" t="n"/>
      <c r="U23" s="4" t="n"/>
      <c r="V23" s="4" t="n"/>
      <c r="W23" s="4" t="n"/>
      <c r="X23" s="4" t="n"/>
      <c r="Y23" s="4" t="n"/>
      <c r="Z23" s="4" t="n"/>
    </row>
    <row r="24" ht="16.5" customHeight="1" s="22">
      <c r="A24" s="15" t="inlineStr">
        <is>
          <t>T-32</t>
        </is>
      </c>
      <c r="B24" s="12" t="inlineStr">
        <is>
          <t>Ordenar la práctica en formato facsímil</t>
        </is>
      </c>
      <c r="C24" s="15" t="inlineStr">
        <is>
          <t>HU-12</t>
        </is>
      </c>
      <c r="D24" s="12" t="inlineStr">
        <is>
          <t>Jeremías Fernández</t>
        </is>
      </c>
      <c r="E24" s="15" t="inlineStr">
        <is>
          <t>Hecho</t>
        </is>
      </c>
      <c r="F24" s="4" t="n"/>
      <c r="G24" s="4" t="n"/>
      <c r="H24" s="4" t="n"/>
      <c r="I24" s="4" t="n"/>
      <c r="J24" s="4" t="n"/>
      <c r="K24" s="4" t="n"/>
      <c r="L24" s="4" t="n"/>
      <c r="M24" s="4" t="n"/>
      <c r="N24" s="4" t="n"/>
      <c r="O24" s="4" t="n"/>
      <c r="P24" s="4" t="n"/>
      <c r="Q24" s="4" t="n"/>
      <c r="R24" s="4" t="n"/>
      <c r="S24" s="4" t="n"/>
      <c r="T24" s="4" t="n"/>
      <c r="U24" s="4" t="n"/>
      <c r="V24" s="4" t="n"/>
      <c r="W24" s="4" t="n"/>
      <c r="X24" s="4" t="n"/>
      <c r="Y24" s="4" t="n"/>
      <c r="Z24" s="4" t="n"/>
    </row>
    <row r="25" ht="16.5" customHeight="1" s="22">
      <c r="A25" s="15" t="inlineStr">
        <is>
          <t>T-38</t>
        </is>
      </c>
      <c r="B25" s="12" t="inlineStr">
        <is>
          <t>Exigir mock_mode en el plan para habilitar el formato facsímil</t>
        </is>
      </c>
      <c r="C25" s="15" t="inlineStr">
        <is>
          <t>HU-12</t>
        </is>
      </c>
      <c r="D25" s="12" t="inlineStr">
        <is>
          <t>Jeremías Fernández</t>
        </is>
      </c>
      <c r="E25" s="15" t="inlineStr">
        <is>
          <t>Hecho</t>
        </is>
      </c>
      <c r="F25" s="4" t="n"/>
      <c r="G25" s="4" t="n"/>
      <c r="H25" s="4" t="n"/>
      <c r="I25" s="4" t="n"/>
      <c r="J25" s="4" t="n"/>
      <c r="K25" s="4" t="n"/>
      <c r="L25" s="4" t="n"/>
      <c r="M25" s="4" t="n"/>
      <c r="N25" s="4" t="n"/>
      <c r="O25" s="4" t="n"/>
      <c r="P25" s="4" t="n"/>
      <c r="Q25" s="4" t="n"/>
      <c r="R25" s="4" t="n"/>
      <c r="S25" s="4" t="n"/>
      <c r="T25" s="4" t="n"/>
      <c r="U25" s="4" t="n"/>
      <c r="V25" s="4" t="n"/>
      <c r="W25" s="4" t="n"/>
      <c r="X25" s="4" t="n"/>
      <c r="Y25" s="4" t="n"/>
      <c r="Z25" s="4" t="n"/>
    </row>
    <row r="26" ht="16.5" customHeight="1" s="22">
      <c r="A26" s="15" t="inlineStr">
        <is>
          <t>T-26</t>
        </is>
      </c>
      <c r="B26" s="12" t="inlineStr">
        <is>
          <t>Conservar la ruta de práctica al recargar en la versión web</t>
        </is>
      </c>
      <c r="C26" s="15" t="inlineStr">
        <is>
          <t>HU-02</t>
        </is>
      </c>
      <c r="D26" s="12" t="inlineStr">
        <is>
          <t>Sebastián Acevedo</t>
        </is>
      </c>
      <c r="E26" s="15" t="inlineStr">
        <is>
          <t>Hecho</t>
        </is>
      </c>
      <c r="F26" s="4" t="n"/>
      <c r="G26" s="4" t="n"/>
      <c r="H26" s="4" t="n"/>
      <c r="I26" s="4" t="n"/>
      <c r="J26" s="4" t="n"/>
      <c r="K26" s="4" t="n"/>
      <c r="L26" s="4" t="n"/>
      <c r="M26" s="4" t="n"/>
      <c r="N26" s="4" t="n"/>
      <c r="O26" s="4" t="n"/>
      <c r="P26" s="4" t="n"/>
      <c r="Q26" s="4" t="n"/>
      <c r="R26" s="4" t="n"/>
      <c r="S26" s="4" t="n"/>
      <c r="T26" s="4" t="n"/>
      <c r="U26" s="4" t="n"/>
      <c r="V26" s="4" t="n"/>
      <c r="W26" s="4" t="n"/>
      <c r="X26" s="4" t="n"/>
      <c r="Y26" s="4" t="n"/>
      <c r="Z26" s="4" t="n"/>
    </row>
    <row r="27" ht="16.5" customHeight="1" s="22">
      <c r="A27" s="15" t="inlineStr">
        <is>
          <t>T-01</t>
        </is>
      </c>
      <c r="B27" s="12" t="inlineStr">
        <is>
          <t>Instalar y ejecutar el proyecto en los tres equipos</t>
        </is>
      </c>
      <c r="C27" s="15" t="inlineStr">
        <is>
          <t>HT-06</t>
        </is>
      </c>
      <c r="D27" s="12" t="inlineStr">
        <is>
          <t>Equipo completo</t>
        </is>
      </c>
      <c r="E27" s="15" t="inlineStr">
        <is>
          <t>Hecho</t>
        </is>
      </c>
      <c r="F27" s="4" t="n"/>
      <c r="G27" s="4" t="n"/>
      <c r="H27" s="4" t="n"/>
      <c r="I27" s="4" t="n"/>
      <c r="J27" s="4" t="n"/>
      <c r="K27" s="4" t="n"/>
      <c r="L27" s="4" t="n"/>
      <c r="M27" s="4" t="n"/>
      <c r="N27" s="4" t="n"/>
      <c r="O27" s="4" t="n"/>
      <c r="P27" s="4" t="n"/>
      <c r="Q27" s="4" t="n"/>
      <c r="R27" s="4" t="n"/>
      <c r="S27" s="4" t="n"/>
      <c r="T27" s="4" t="n"/>
      <c r="U27" s="4" t="n"/>
      <c r="V27" s="4" t="n"/>
      <c r="W27" s="4" t="n"/>
      <c r="X27" s="4" t="n"/>
      <c r="Y27" s="4" t="n"/>
      <c r="Z27" s="4" t="n"/>
    </row>
    <row r="28" ht="30" customHeight="1" s="22">
      <c r="A28" s="15" t="inlineStr">
        <is>
          <t>T-33</t>
        </is>
      </c>
      <c r="B28" s="12" t="inlineStr">
        <is>
          <t>Dockerfile del backend y docker-compose con el emulador de Firestore</t>
        </is>
      </c>
      <c r="C28" s="15" t="inlineStr">
        <is>
          <t>HT-03</t>
        </is>
      </c>
      <c r="D28" s="12" t="inlineStr">
        <is>
          <t>Jeremías Fernández</t>
        </is>
      </c>
      <c r="E28" s="15" t="inlineStr">
        <is>
          <t>Hecho</t>
        </is>
      </c>
      <c r="F28" s="4" t="n"/>
      <c r="G28" s="4" t="n"/>
      <c r="H28" s="4" t="n"/>
      <c r="I28" s="4" t="n"/>
      <c r="J28" s="4" t="n"/>
      <c r="K28" s="4" t="n"/>
      <c r="L28" s="4" t="n"/>
      <c r="M28" s="4" t="n"/>
      <c r="N28" s="4" t="n"/>
      <c r="O28" s="4" t="n"/>
      <c r="P28" s="4" t="n"/>
      <c r="Q28" s="4" t="n"/>
      <c r="R28" s="4" t="n"/>
      <c r="S28" s="4" t="n"/>
      <c r="T28" s="4" t="n"/>
      <c r="U28" s="4" t="n"/>
      <c r="V28" s="4" t="n"/>
      <c r="W28" s="4" t="n"/>
      <c r="X28" s="4" t="n"/>
      <c r="Y28" s="4" t="n"/>
      <c r="Z28" s="4" t="n"/>
    </row>
    <row r="29" ht="30" customHeight="1" s="22">
      <c r="A29" s="15" t="inlineStr">
        <is>
          <t>T-34</t>
        </is>
      </c>
      <c r="B29" s="12" t="inlineStr">
        <is>
          <t>Levantar el proyecto con contenedores siguiendo solo la documentación</t>
        </is>
      </c>
      <c r="C29" s="15" t="inlineStr">
        <is>
          <t>HT-03</t>
        </is>
      </c>
      <c r="D29" s="12" t="inlineStr">
        <is>
          <t>Martin Espinoza</t>
        </is>
      </c>
      <c r="E29" s="15" t="inlineStr">
        <is>
          <t>Hecho</t>
        </is>
      </c>
      <c r="F29" s="4" t="n"/>
      <c r="G29" s="4" t="n"/>
      <c r="H29" s="4" t="n"/>
      <c r="I29" s="4" t="n"/>
      <c r="J29" s="4" t="n"/>
      <c r="K29" s="4" t="n"/>
      <c r="L29" s="4" t="n"/>
      <c r="M29" s="4" t="n"/>
      <c r="N29" s="4" t="n"/>
      <c r="O29" s="4" t="n"/>
      <c r="P29" s="4" t="n"/>
      <c r="Q29" s="4" t="n"/>
      <c r="R29" s="4" t="n"/>
      <c r="S29" s="4" t="n"/>
      <c r="T29" s="4" t="n"/>
      <c r="U29" s="4" t="n"/>
      <c r="V29" s="4" t="n"/>
      <c r="W29" s="4" t="n"/>
      <c r="X29" s="4" t="n"/>
      <c r="Y29" s="4" t="n"/>
      <c r="Z29" s="4" t="n"/>
    </row>
    <row r="30" ht="16.5" customHeight="1" s="22">
      <c r="A30" s="15" t="inlineStr">
        <is>
          <t>T-23</t>
        </is>
      </c>
      <c r="B30" s="12" t="inlineStr">
        <is>
          <t>Restringir las claves de Firebase por aplicación y dominio</t>
        </is>
      </c>
      <c r="C30" s="15" t="inlineStr">
        <is>
          <t>HU-21</t>
        </is>
      </c>
      <c r="D30" s="12" t="inlineStr">
        <is>
          <t>Jeremías Fernández</t>
        </is>
      </c>
      <c r="E30" s="15" t="inlineStr">
        <is>
          <t>Por confirmar</t>
        </is>
      </c>
      <c r="F30" s="4" t="n"/>
      <c r="G30" s="4" t="n"/>
      <c r="H30" s="4" t="n"/>
      <c r="I30" s="4" t="n"/>
      <c r="J30" s="4" t="n"/>
      <c r="K30" s="4" t="n"/>
      <c r="L30" s="4" t="n"/>
      <c r="M30" s="4" t="n"/>
      <c r="N30" s="4" t="n"/>
      <c r="O30" s="4" t="n"/>
      <c r="P30" s="4" t="n"/>
      <c r="Q30" s="4" t="n"/>
      <c r="R30" s="4" t="n"/>
      <c r="S30" s="4" t="n"/>
      <c r="T30" s="4" t="n"/>
      <c r="U30" s="4" t="n"/>
      <c r="V30" s="4" t="n"/>
      <c r="W30" s="4" t="n"/>
      <c r="X30" s="4" t="n"/>
      <c r="Y30" s="4" t="n"/>
      <c r="Z30" s="4" t="n"/>
    </row>
    <row r="31" ht="30" customHeight="1" s="22">
      <c r="A31" s="15" t="inlineStr">
        <is>
          <t>T-39</t>
        </is>
      </c>
      <c r="B31" s="12" t="inlineStr">
        <is>
          <t>Pruebas de aceptación de la iteración: criterios de HU-05, HU-12 y T-26, entornos y regresión del ciclo de práctica</t>
        </is>
      </c>
      <c r="C31" s="15" t="inlineStr">
        <is>
          <t>HU-05, HU-12, HT-03, HT-06</t>
        </is>
      </c>
      <c r="D31" s="12" t="inlineStr">
        <is>
          <t>Martin Espinoza</t>
        </is>
      </c>
      <c r="E31" s="15" t="inlineStr">
        <is>
          <t>Hecho</t>
        </is>
      </c>
      <c r="F31" s="4" t="n"/>
      <c r="G31" s="4" t="n"/>
      <c r="H31" s="4" t="n"/>
      <c r="I31" s="4" t="n"/>
      <c r="J31" s="4" t="n"/>
      <c r="K31" s="4" t="n"/>
      <c r="L31" s="4" t="n"/>
      <c r="M31" s="4" t="n"/>
      <c r="N31" s="4" t="n"/>
      <c r="O31" s="4" t="n"/>
      <c r="P31" s="4" t="n"/>
      <c r="Q31" s="4" t="n"/>
      <c r="R31" s="4" t="n"/>
      <c r="S31" s="4" t="n"/>
      <c r="T31" s="4" t="n"/>
      <c r="U31" s="4" t="n"/>
      <c r="V31" s="4" t="n"/>
      <c r="W31" s="4" t="n"/>
      <c r="X31" s="4" t="n"/>
      <c r="Y31" s="4" t="n"/>
      <c r="Z31" s="4" t="n"/>
    </row>
    <row r="32" ht="15" customHeight="1" s="22">
      <c r="A32" s="1" t="n"/>
      <c r="B32" s="1" t="n"/>
      <c r="C32" s="1" t="n"/>
      <c r="D32" s="1" t="n"/>
      <c r="E32" s="1" t="n"/>
      <c r="F32" s="4" t="n"/>
      <c r="G32" s="4" t="n"/>
      <c r="H32" s="4" t="n"/>
      <c r="I32" s="4" t="n"/>
      <c r="J32" s="4" t="n"/>
      <c r="K32" s="4" t="n"/>
      <c r="L32" s="4" t="n"/>
      <c r="M32" s="4" t="n"/>
      <c r="N32" s="4" t="n"/>
      <c r="O32" s="4" t="n"/>
      <c r="P32" s="4" t="n"/>
      <c r="Q32" s="4" t="n"/>
      <c r="R32" s="4" t="n"/>
      <c r="S32" s="4" t="n"/>
      <c r="T32" s="4" t="n"/>
      <c r="U32" s="4" t="n"/>
      <c r="V32" s="4" t="n"/>
      <c r="W32" s="4" t="n"/>
      <c r="X32" s="4" t="n"/>
      <c r="Y32" s="4" t="n"/>
      <c r="Z32" s="4" t="n"/>
    </row>
    <row r="33" ht="15" customHeight="1" s="22">
      <c r="A33" s="16" t="inlineStr">
        <is>
          <t>Cierre de la iteración</t>
        </is>
      </c>
      <c r="B33" s="1" t="n"/>
      <c r="C33" s="1" t="n"/>
      <c r="D33" s="1" t="n"/>
      <c r="E33" s="1" t="n"/>
      <c r="F33" s="4" t="n"/>
      <c r="G33" s="4" t="n"/>
      <c r="H33" s="4" t="n"/>
      <c r="I33" s="4" t="n"/>
      <c r="J33" s="4" t="n"/>
      <c r="K33" s="4" t="n"/>
      <c r="L33" s="4" t="n"/>
      <c r="M33" s="4" t="n"/>
      <c r="N33" s="4" t="n"/>
      <c r="O33" s="4" t="n"/>
      <c r="P33" s="4" t="n"/>
      <c r="Q33" s="4" t="n"/>
      <c r="R33" s="4" t="n"/>
      <c r="S33" s="4" t="n"/>
      <c r="T33" s="4" t="n"/>
      <c r="U33" s="4" t="n"/>
      <c r="V33" s="4" t="n"/>
      <c r="W33" s="4" t="n"/>
      <c r="X33" s="4" t="n"/>
      <c r="Y33" s="4" t="n"/>
      <c r="Z33" s="4" t="n"/>
    </row>
    <row r="34" ht="61.5" customHeight="1" s="22">
      <c r="A34" s="9" t="inlineStr">
        <is>
          <t>Resultado</t>
        </is>
      </c>
      <c r="B34" s="12" t="inlineStr">
        <is>
          <t>Se completaron en producción la explicación detallada, que solo se entrega después de responder, la restricción del formato facsímil según el plan, el cambio de dificultad y la conservación de la pantalla Pregunta al recargar en la versión web. El proyecto se ejecuta en los tres equipos y se levanta con contenedores. La aceptación T-39 del 10/10/2026 aprobó 14 de 16 pasos, sin fallas y con dos observaciones sobre la pantalla Resultado.</t>
        </is>
      </c>
      <c r="C34" s="23" t="n"/>
      <c r="D34" s="23" t="n"/>
      <c r="E34" s="24" t="n"/>
      <c r="F34" s="4" t="n"/>
      <c r="G34" s="4" t="n"/>
      <c r="H34" s="4" t="n"/>
      <c r="I34" s="4" t="n"/>
      <c r="J34" s="4" t="n"/>
      <c r="K34" s="4" t="n"/>
      <c r="L34" s="4" t="n"/>
      <c r="M34" s="4" t="n"/>
      <c r="N34" s="4" t="n"/>
      <c r="O34" s="4" t="n"/>
      <c r="P34" s="4" t="n"/>
      <c r="Q34" s="4" t="n"/>
      <c r="R34" s="4" t="n"/>
      <c r="S34" s="4" t="n"/>
      <c r="T34" s="4" t="n"/>
      <c r="U34" s="4" t="n"/>
      <c r="V34" s="4" t="n"/>
      <c r="W34" s="4" t="n"/>
      <c r="X34" s="4" t="n"/>
      <c r="Y34" s="4" t="n"/>
      <c r="Z34" s="4" t="n"/>
    </row>
    <row r="35" ht="42" customHeight="1" s="22">
      <c r="A35" s="9" t="inlineStr">
        <is>
          <t>Ajuste acordado</t>
        </is>
      </c>
      <c r="B35" s="12" t="inlineStr">
        <is>
          <t>Revisar las pantallas que se mostrarán al cliente antes de cada demostración, incluidas las que no pertenecen a la iteración; separar la cuenta de pruebas de la cuenta de demostración; y verificar en un navegador real cada pantalla nueva al recargar y al volver atrás.</t>
        </is>
      </c>
      <c r="C35" s="23" t="n"/>
      <c r="D35" s="23" t="n"/>
      <c r="E35" s="24" t="n"/>
      <c r="F35" s="4" t="n"/>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22">
      <c r="A36" s="1" t="n"/>
      <c r="B36" s="1" t="n"/>
      <c r="C36" s="1" t="n"/>
      <c r="D36" s="1" t="n"/>
      <c r="E36" s="1" t="n"/>
      <c r="F36" s="4" t="n"/>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22">
      <c r="A37" s="1" t="n"/>
      <c r="B37" s="1" t="n"/>
      <c r="C37" s="1" t="n"/>
      <c r="D37" s="1" t="n"/>
      <c r="E37" s="1" t="n"/>
      <c r="F37" s="4" t="n"/>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22">
      <c r="A38" s="1" t="n"/>
      <c r="B38" s="1" t="n"/>
      <c r="C38" s="1" t="n"/>
      <c r="D38" s="1" t="n"/>
      <c r="E38" s="1" t="n"/>
      <c r="F38" s="4" t="n"/>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22">
      <c r="A39" s="1" t="n"/>
      <c r="B39" s="1" t="n"/>
      <c r="C39" s="1" t="n"/>
      <c r="D39" s="1" t="n"/>
      <c r="E39" s="1" t="n"/>
      <c r="F39" s="4" t="n"/>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22">
      <c r="A40" s="1" t="n"/>
      <c r="B40" s="1" t="n"/>
      <c r="C40" s="1" t="n"/>
      <c r="D40" s="1" t="n"/>
      <c r="E40" s="1" t="n"/>
      <c r="F40" s="4" t="n"/>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22">
      <c r="A41" s="1" t="n"/>
      <c r="B41" s="1" t="n"/>
      <c r="C41" s="1" t="n"/>
      <c r="D41" s="1" t="n"/>
      <c r="E41" s="1" t="n"/>
      <c r="F41" s="4" t="n"/>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22">
      <c r="A42" s="1" t="n"/>
      <c r="B42" s="1" t="n"/>
      <c r="C42" s="1" t="n"/>
      <c r="D42" s="1" t="n"/>
      <c r="E42" s="1" t="n"/>
      <c r="F42" s="4" t="n"/>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22">
      <c r="A43" s="1" t="n"/>
      <c r="B43" s="1" t="n"/>
      <c r="C43" s="1" t="n"/>
      <c r="D43" s="1" t="n"/>
      <c r="E43" s="1" t="n"/>
      <c r="F43" s="4" t="n"/>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22">
      <c r="A44" s="1" t="n"/>
      <c r="B44" s="1" t="n"/>
      <c r="C44" s="1" t="n"/>
      <c r="D44" s="1" t="n"/>
      <c r="E44" s="1" t="n"/>
      <c r="F44" s="4" t="n"/>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22">
      <c r="A45" s="1" t="n"/>
      <c r="B45" s="1" t="n"/>
      <c r="C45" s="1" t="n"/>
      <c r="D45" s="1" t="n"/>
      <c r="E45" s="1" t="n"/>
      <c r="F45" s="4" t="n"/>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22">
      <c r="A46" s="1" t="n"/>
      <c r="B46" s="1" t="n"/>
      <c r="C46" s="1" t="n"/>
      <c r="D46" s="1" t="n"/>
      <c r="E46" s="1" t="n"/>
      <c r="F46" s="4" t="n"/>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22">
      <c r="A47" s="1" t="n"/>
      <c r="B47" s="1" t="n"/>
      <c r="C47" s="1" t="n"/>
      <c r="D47" s="1" t="n"/>
      <c r="E47" s="1" t="n"/>
      <c r="F47" s="4" t="n"/>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22">
      <c r="A48" s="1" t="n"/>
      <c r="B48" s="1" t="n"/>
      <c r="C48" s="1" t="n"/>
      <c r="D48" s="1" t="n"/>
      <c r="E48" s="1" t="n"/>
      <c r="F48" s="4" t="n"/>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22">
      <c r="A49" s="1" t="n"/>
      <c r="B49" s="1" t="n"/>
      <c r="C49" s="1" t="n"/>
      <c r="D49" s="1" t="n"/>
      <c r="E49" s="1" t="n"/>
      <c r="F49" s="4" t="n"/>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22">
      <c r="A50" s="1" t="n"/>
      <c r="B50" s="1" t="n"/>
      <c r="C50" s="1" t="n"/>
      <c r="D50" s="1" t="n"/>
      <c r="E50" s="1" t="n"/>
      <c r="F50" s="4" t="n"/>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22">
      <c r="A51" s="1" t="n"/>
      <c r="B51" s="1" t="n"/>
      <c r="C51" s="1" t="n"/>
      <c r="D51" s="1" t="n"/>
      <c r="E51" s="1" t="n"/>
      <c r="F51" s="4" t="n"/>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22">
      <c r="A52" s="1" t="n"/>
      <c r="B52" s="1" t="n"/>
      <c r="C52" s="1" t="n"/>
      <c r="D52" s="1" t="n"/>
      <c r="E52" s="1" t="n"/>
      <c r="F52" s="4" t="n"/>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22">
      <c r="A53" s="1" t="n"/>
      <c r="B53" s="1" t="n"/>
      <c r="C53" s="1" t="n"/>
      <c r="D53" s="1" t="n"/>
      <c r="E53" s="1" t="n"/>
      <c r="F53" s="4" t="n"/>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22">
      <c r="A54" s="1" t="n"/>
      <c r="B54" s="1" t="n"/>
      <c r="C54" s="1" t="n"/>
      <c r="D54" s="1" t="n"/>
      <c r="E54" s="1" t="n"/>
      <c r="F54" s="4" t="n"/>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22">
      <c r="A55" s="1" t="n"/>
      <c r="B55" s="1" t="n"/>
      <c r="C55" s="1" t="n"/>
      <c r="D55" s="1" t="n"/>
      <c r="E55" s="1" t="n"/>
      <c r="F55" s="4" t="n"/>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22">
      <c r="A56" s="1" t="n"/>
      <c r="B56" s="1" t="n"/>
      <c r="C56" s="1" t="n"/>
      <c r="D56" s="1" t="n"/>
      <c r="E56" s="1" t="n"/>
      <c r="F56" s="4" t="n"/>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22">
      <c r="A57" s="1" t="n"/>
      <c r="B57" s="1" t="n"/>
      <c r="C57" s="1" t="n"/>
      <c r="D57" s="1" t="n"/>
      <c r="E57" s="1" t="n"/>
      <c r="F57" s="4" t="n"/>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22">
      <c r="A58" s="1" t="n"/>
      <c r="B58" s="1" t="n"/>
      <c r="C58" s="1" t="n"/>
      <c r="D58" s="1" t="n"/>
      <c r="E58" s="1" t="n"/>
      <c r="F58" s="4" t="n"/>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22">
      <c r="A59" s="1" t="n"/>
      <c r="B59" s="1" t="n"/>
      <c r="C59" s="1" t="n"/>
      <c r="D59" s="1" t="n"/>
      <c r="E59" s="1" t="n"/>
      <c r="F59" s="4" t="n"/>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22">
      <c r="A60" s="1" t="n"/>
      <c r="B60" s="1" t="n"/>
      <c r="C60" s="1" t="n"/>
      <c r="D60" s="1" t="n"/>
      <c r="E60" s="1" t="n"/>
      <c r="F60" s="4" t="n"/>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22">
      <c r="A61" s="1" t="n"/>
      <c r="B61" s="1" t="n"/>
      <c r="C61" s="1" t="n"/>
      <c r="D61" s="1" t="n"/>
      <c r="E61" s="1" t="n"/>
      <c r="F61" s="4" t="n"/>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22">
      <c r="A62" s="1" t="n"/>
      <c r="B62" s="1" t="n"/>
      <c r="C62" s="1" t="n"/>
      <c r="D62" s="1" t="n"/>
      <c r="E62" s="1" t="n"/>
      <c r="F62" s="4" t="n"/>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22">
      <c r="A63" s="1" t="n"/>
      <c r="B63" s="1" t="n"/>
      <c r="C63" s="1" t="n"/>
      <c r="D63" s="1" t="n"/>
      <c r="E63" s="1" t="n"/>
      <c r="F63" s="4" t="n"/>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22">
      <c r="A64" s="1" t="n"/>
      <c r="B64" s="1" t="n"/>
      <c r="C64" s="1" t="n"/>
      <c r="D64" s="1" t="n"/>
      <c r="E64" s="1" t="n"/>
      <c r="F64" s="4" t="n"/>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22">
      <c r="A65" s="1" t="n"/>
      <c r="B65" s="1" t="n"/>
      <c r="C65" s="1" t="n"/>
      <c r="D65" s="1" t="n"/>
      <c r="E65" s="1" t="n"/>
      <c r="F65" s="4" t="n"/>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22">
      <c r="A66" s="1" t="n"/>
      <c r="B66" s="1" t="n"/>
      <c r="C66" s="1" t="n"/>
      <c r="D66" s="1" t="n"/>
      <c r="E66" s="1" t="n"/>
      <c r="F66" s="4" t="n"/>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22">
      <c r="A67" s="1" t="n"/>
      <c r="B67" s="1" t="n"/>
      <c r="C67" s="1" t="n"/>
      <c r="D67" s="1" t="n"/>
      <c r="E67" s="1" t="n"/>
      <c r="F67" s="4" t="n"/>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22">
      <c r="A68" s="1" t="n"/>
      <c r="B68" s="1" t="n"/>
      <c r="C68" s="1" t="n"/>
      <c r="D68" s="1" t="n"/>
      <c r="E68" s="1" t="n"/>
      <c r="F68" s="4" t="n"/>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22">
      <c r="A69" s="1" t="n"/>
      <c r="B69" s="1" t="n"/>
      <c r="C69" s="1" t="n"/>
      <c r="D69" s="1" t="n"/>
      <c r="E69" s="1" t="n"/>
      <c r="F69" s="4" t="n"/>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22">
      <c r="A70" s="1" t="n"/>
      <c r="B70" s="1" t="n"/>
      <c r="C70" s="1" t="n"/>
      <c r="D70" s="1" t="n"/>
      <c r="E70" s="1" t="n"/>
      <c r="F70" s="4" t="n"/>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22">
      <c r="A71" s="1" t="n"/>
      <c r="B71" s="1" t="n"/>
      <c r="C71" s="1" t="n"/>
      <c r="D71" s="1" t="n"/>
      <c r="E71" s="1" t="n"/>
      <c r="F71" s="4" t="n"/>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22">
      <c r="A72" s="1" t="n"/>
      <c r="B72" s="1" t="n"/>
      <c r="C72" s="1" t="n"/>
      <c r="D72" s="1" t="n"/>
      <c r="E72" s="1" t="n"/>
      <c r="F72" s="4" t="n"/>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22">
      <c r="A73" s="1" t="n"/>
      <c r="B73" s="1" t="n"/>
      <c r="C73" s="1" t="n"/>
      <c r="D73" s="1" t="n"/>
      <c r="E73" s="1" t="n"/>
      <c r="F73" s="4" t="n"/>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22">
      <c r="A74" s="1" t="n"/>
      <c r="B74" s="1" t="n"/>
      <c r="C74" s="1" t="n"/>
      <c r="D74" s="1" t="n"/>
      <c r="E74" s="1" t="n"/>
      <c r="F74" s="4" t="n"/>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22">
      <c r="A75" s="1" t="n"/>
      <c r="B75" s="1" t="n"/>
      <c r="C75" s="1" t="n"/>
      <c r="D75" s="1" t="n"/>
      <c r="E75" s="1" t="n"/>
      <c r="F75" s="4" t="n"/>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22">
      <c r="A76" s="1" t="n"/>
      <c r="B76" s="1" t="n"/>
      <c r="C76" s="1" t="n"/>
      <c r="D76" s="1" t="n"/>
      <c r="E76" s="1" t="n"/>
      <c r="F76" s="4" t="n"/>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22">
      <c r="A77" s="1" t="n"/>
      <c r="B77" s="1" t="n"/>
      <c r="C77" s="1" t="n"/>
      <c r="D77" s="1" t="n"/>
      <c r="E77" s="1" t="n"/>
      <c r="F77" s="4" t="n"/>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22">
      <c r="A78" s="1" t="n"/>
      <c r="B78" s="1" t="n"/>
      <c r="C78" s="1" t="n"/>
      <c r="D78" s="1" t="n"/>
      <c r="E78" s="1" t="n"/>
      <c r="F78" s="4" t="n"/>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22">
      <c r="A79" s="1" t="n"/>
      <c r="B79" s="1" t="n"/>
      <c r="C79" s="1" t="n"/>
      <c r="D79" s="1" t="n"/>
      <c r="E79" s="1" t="n"/>
      <c r="F79" s="4" t="n"/>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22">
      <c r="A80" s="1" t="n"/>
      <c r="B80" s="1" t="n"/>
      <c r="C80" s="1" t="n"/>
      <c r="D80" s="1" t="n"/>
      <c r="E80" s="1" t="n"/>
      <c r="F80" s="4" t="n"/>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22">
      <c r="A81" s="1" t="n"/>
      <c r="B81" s="1" t="n"/>
      <c r="C81" s="1" t="n"/>
      <c r="D81" s="1" t="n"/>
      <c r="E81" s="1" t="n"/>
      <c r="F81" s="4" t="n"/>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22">
      <c r="A82" s="1" t="n"/>
      <c r="B82" s="1" t="n"/>
      <c r="C82" s="1" t="n"/>
      <c r="D82" s="1" t="n"/>
      <c r="E82" s="1" t="n"/>
      <c r="F82" s="4" t="n"/>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22">
      <c r="A83" s="1" t="n"/>
      <c r="B83" s="1" t="n"/>
      <c r="C83" s="1" t="n"/>
      <c r="D83" s="1" t="n"/>
      <c r="E83" s="1" t="n"/>
      <c r="F83" s="4" t="n"/>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22">
      <c r="A84" s="1" t="n"/>
      <c r="B84" s="1" t="n"/>
      <c r="C84" s="1" t="n"/>
      <c r="D84" s="1" t="n"/>
      <c r="E84" s="1" t="n"/>
      <c r="F84" s="4" t="n"/>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22">
      <c r="A85" s="1" t="n"/>
      <c r="B85" s="1" t="n"/>
      <c r="C85" s="1" t="n"/>
      <c r="D85" s="1" t="n"/>
      <c r="E85" s="1" t="n"/>
      <c r="F85" s="4" t="n"/>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22">
      <c r="A86" s="1" t="n"/>
      <c r="B86" s="1" t="n"/>
      <c r="C86" s="1" t="n"/>
      <c r="D86" s="1" t="n"/>
      <c r="E86" s="1" t="n"/>
      <c r="F86" s="4" t="n"/>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22">
      <c r="A87" s="1" t="n"/>
      <c r="B87" s="1" t="n"/>
      <c r="C87" s="1" t="n"/>
      <c r="D87" s="1" t="n"/>
      <c r="E87" s="1" t="n"/>
      <c r="F87" s="4" t="n"/>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22">
      <c r="A88" s="1" t="n"/>
      <c r="B88" s="1" t="n"/>
      <c r="C88" s="1" t="n"/>
      <c r="D88" s="1" t="n"/>
      <c r="E88" s="1" t="n"/>
      <c r="F88" s="4" t="n"/>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22">
      <c r="A89" s="1" t="n"/>
      <c r="B89" s="1" t="n"/>
      <c r="C89" s="1" t="n"/>
      <c r="D89" s="1" t="n"/>
      <c r="E89" s="1" t="n"/>
      <c r="F89" s="4" t="n"/>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22">
      <c r="A90" s="1" t="n"/>
      <c r="B90" s="1" t="n"/>
      <c r="C90" s="1" t="n"/>
      <c r="D90" s="1" t="n"/>
      <c r="E90" s="1" t="n"/>
      <c r="F90" s="4" t="n"/>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22">
      <c r="A91" s="1" t="n"/>
      <c r="B91" s="1" t="n"/>
      <c r="C91" s="1" t="n"/>
      <c r="D91" s="1" t="n"/>
      <c r="E91" s="1" t="n"/>
      <c r="F91" s="4" t="n"/>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22">
      <c r="A92" s="1" t="n"/>
      <c r="B92" s="1" t="n"/>
      <c r="C92" s="1" t="n"/>
      <c r="D92" s="1" t="n"/>
      <c r="E92" s="1" t="n"/>
      <c r="F92" s="4" t="n"/>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22">
      <c r="A93" s="1" t="n"/>
      <c r="B93" s="1" t="n"/>
      <c r="C93" s="1" t="n"/>
      <c r="D93" s="1" t="n"/>
      <c r="E93" s="1" t="n"/>
      <c r="F93" s="4" t="n"/>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22">
      <c r="A94" s="1" t="n"/>
      <c r="B94" s="1" t="n"/>
      <c r="C94" s="1" t="n"/>
      <c r="D94" s="1" t="n"/>
      <c r="E94" s="1" t="n"/>
      <c r="F94" s="4" t="n"/>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22">
      <c r="A95" s="1" t="n"/>
      <c r="B95" s="1" t="n"/>
      <c r="C95" s="1" t="n"/>
      <c r="D95" s="1" t="n"/>
      <c r="E95" s="1" t="n"/>
      <c r="F95" s="4" t="n"/>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22">
      <c r="A96" s="1" t="n"/>
      <c r="B96" s="1" t="n"/>
      <c r="C96" s="1" t="n"/>
      <c r="D96" s="1" t="n"/>
      <c r="E96" s="1" t="n"/>
      <c r="F96" s="4" t="n"/>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22">
      <c r="A97" s="1" t="n"/>
      <c r="B97" s="1" t="n"/>
      <c r="C97" s="1" t="n"/>
      <c r="D97" s="1" t="n"/>
      <c r="E97" s="1" t="n"/>
      <c r="F97" s="4" t="n"/>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22">
      <c r="A98" s="1" t="n"/>
      <c r="B98" s="1" t="n"/>
      <c r="C98" s="1" t="n"/>
      <c r="D98" s="1" t="n"/>
      <c r="E98" s="1" t="n"/>
      <c r="F98" s="4" t="n"/>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22">
      <c r="A99" s="1" t="n"/>
      <c r="B99" s="1" t="n"/>
      <c r="C99" s="1" t="n"/>
      <c r="D99" s="1" t="n"/>
      <c r="E99" s="1" t="n"/>
      <c r="F99" s="4" t="n"/>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22">
      <c r="A100" s="1" t="n"/>
      <c r="B100" s="1" t="n"/>
      <c r="C100" s="1" t="n"/>
      <c r="D100" s="1" t="n"/>
      <c r="E100" s="1" t="n"/>
      <c r="F100" s="4" t="n"/>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22">
      <c r="A101" s="1" t="n"/>
      <c r="B101" s="1" t="n"/>
      <c r="C101" s="1" t="n"/>
      <c r="D101" s="1" t="n"/>
      <c r="E101" s="1" t="n"/>
      <c r="F101" s="4" t="n"/>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22">
      <c r="A102" s="1" t="n"/>
      <c r="B102" s="1" t="n"/>
      <c r="C102" s="1" t="n"/>
      <c r="D102" s="1" t="n"/>
      <c r="E102" s="1" t="n"/>
      <c r="F102" s="4" t="n"/>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22">
      <c r="A103" s="1" t="n"/>
      <c r="B103" s="1" t="n"/>
      <c r="C103" s="1" t="n"/>
      <c r="D103" s="1" t="n"/>
      <c r="E103" s="1" t="n"/>
      <c r="F103" s="4" t="n"/>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22">
      <c r="A104" s="1" t="n"/>
      <c r="B104" s="1" t="n"/>
      <c r="C104" s="1" t="n"/>
      <c r="D104" s="1" t="n"/>
      <c r="E104" s="1" t="n"/>
      <c r="F104" s="4" t="n"/>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22">
      <c r="A105" s="1" t="n"/>
      <c r="B105" s="1" t="n"/>
      <c r="C105" s="1" t="n"/>
      <c r="D105" s="1" t="n"/>
      <c r="E105" s="1" t="n"/>
      <c r="F105" s="4" t="n"/>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22">
      <c r="A106" s="1" t="n"/>
      <c r="B106" s="1" t="n"/>
      <c r="C106" s="1" t="n"/>
      <c r="D106" s="1" t="n"/>
      <c r="E106" s="1" t="n"/>
      <c r="F106" s="4" t="n"/>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22">
      <c r="A107" s="1" t="n"/>
      <c r="B107" s="1" t="n"/>
      <c r="C107" s="1" t="n"/>
      <c r="D107" s="1" t="n"/>
      <c r="E107" s="1" t="n"/>
      <c r="F107" s="4" t="n"/>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22">
      <c r="A108" s="1" t="n"/>
      <c r="B108" s="1" t="n"/>
      <c r="C108" s="1" t="n"/>
      <c r="D108" s="1" t="n"/>
      <c r="E108" s="1" t="n"/>
      <c r="F108" s="4" t="n"/>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22">
      <c r="A109" s="1" t="n"/>
      <c r="B109" s="1" t="n"/>
      <c r="C109" s="1" t="n"/>
      <c r="D109" s="1" t="n"/>
      <c r="E109" s="1" t="n"/>
      <c r="F109" s="4" t="n"/>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22">
      <c r="A110" s="1" t="n"/>
      <c r="B110" s="1" t="n"/>
      <c r="C110" s="1" t="n"/>
      <c r="D110" s="1" t="n"/>
      <c r="E110" s="1" t="n"/>
      <c r="F110" s="4" t="n"/>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22">
      <c r="A111" s="1" t="n"/>
      <c r="B111" s="1" t="n"/>
      <c r="C111" s="1" t="n"/>
      <c r="D111" s="1" t="n"/>
      <c r="E111" s="1" t="n"/>
      <c r="F111" s="4" t="n"/>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22">
      <c r="A112" s="1" t="n"/>
      <c r="B112" s="1" t="n"/>
      <c r="C112" s="1" t="n"/>
      <c r="D112" s="1" t="n"/>
      <c r="E112" s="1" t="n"/>
      <c r="F112" s="4" t="n"/>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22">
      <c r="A113" s="1" t="n"/>
      <c r="B113" s="1" t="n"/>
      <c r="C113" s="1" t="n"/>
      <c r="D113" s="1" t="n"/>
      <c r="E113" s="1" t="n"/>
      <c r="F113" s="4" t="n"/>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22">
      <c r="A114" s="1" t="n"/>
      <c r="B114" s="1" t="n"/>
      <c r="C114" s="1" t="n"/>
      <c r="D114" s="1" t="n"/>
      <c r="E114" s="1" t="n"/>
      <c r="F114" s="4" t="n"/>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22">
      <c r="A115" s="1" t="n"/>
      <c r="B115" s="1" t="n"/>
      <c r="C115" s="1" t="n"/>
      <c r="D115" s="1" t="n"/>
      <c r="E115" s="1" t="n"/>
      <c r="F115" s="4" t="n"/>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22">
      <c r="A116" s="1" t="n"/>
      <c r="B116" s="1" t="n"/>
      <c r="C116" s="1" t="n"/>
      <c r="D116" s="1" t="n"/>
      <c r="E116" s="1" t="n"/>
      <c r="F116" s="4" t="n"/>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22">
      <c r="A117" s="1" t="n"/>
      <c r="B117" s="1" t="n"/>
      <c r="C117" s="1" t="n"/>
      <c r="D117" s="1" t="n"/>
      <c r="E117" s="1" t="n"/>
      <c r="F117" s="4" t="n"/>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22">
      <c r="A118" s="1" t="n"/>
      <c r="B118" s="1" t="n"/>
      <c r="C118" s="1" t="n"/>
      <c r="D118" s="1" t="n"/>
      <c r="E118" s="1" t="n"/>
      <c r="F118" s="4" t="n"/>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22">
      <c r="A119" s="1" t="n"/>
      <c r="B119" s="1" t="n"/>
      <c r="C119" s="1" t="n"/>
      <c r="D119" s="1" t="n"/>
      <c r="E119" s="1" t="n"/>
      <c r="F119" s="4" t="n"/>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22">
      <c r="A120" s="1" t="n"/>
      <c r="B120" s="1" t="n"/>
      <c r="C120" s="1" t="n"/>
      <c r="D120" s="1" t="n"/>
      <c r="E120" s="1" t="n"/>
      <c r="F120" s="4" t="n"/>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22">
      <c r="A121" s="1" t="n"/>
      <c r="B121" s="1" t="n"/>
      <c r="C121" s="1" t="n"/>
      <c r="D121" s="1" t="n"/>
      <c r="E121" s="1" t="n"/>
      <c r="F121" s="4" t="n"/>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22">
      <c r="A122" s="1" t="n"/>
      <c r="B122" s="1" t="n"/>
      <c r="C122" s="1" t="n"/>
      <c r="D122" s="1" t="n"/>
      <c r="E122" s="1" t="n"/>
      <c r="F122" s="4" t="n"/>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22">
      <c r="A123" s="1" t="n"/>
      <c r="B123" s="1" t="n"/>
      <c r="C123" s="1" t="n"/>
      <c r="D123" s="1" t="n"/>
      <c r="E123" s="1" t="n"/>
      <c r="F123" s="4" t="n"/>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22">
      <c r="A124" s="1" t="n"/>
      <c r="B124" s="1" t="n"/>
      <c r="C124" s="1" t="n"/>
      <c r="D124" s="1" t="n"/>
      <c r="E124" s="1" t="n"/>
      <c r="F124" s="4" t="n"/>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22">
      <c r="A125" s="1" t="n"/>
      <c r="B125" s="1" t="n"/>
      <c r="C125" s="1" t="n"/>
      <c r="D125" s="1" t="n"/>
      <c r="E125" s="1" t="n"/>
      <c r="F125" s="4" t="n"/>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22">
      <c r="A126" s="1" t="n"/>
      <c r="B126" s="1" t="n"/>
      <c r="C126" s="1" t="n"/>
      <c r="D126" s="1" t="n"/>
      <c r="E126" s="1" t="n"/>
      <c r="F126" s="4" t="n"/>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22">
      <c r="A127" s="1" t="n"/>
      <c r="B127" s="1" t="n"/>
      <c r="C127" s="1" t="n"/>
      <c r="D127" s="1" t="n"/>
      <c r="E127" s="1" t="n"/>
      <c r="F127" s="4" t="n"/>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22">
      <c r="A128" s="1" t="n"/>
      <c r="B128" s="1" t="n"/>
      <c r="C128" s="1" t="n"/>
      <c r="D128" s="1" t="n"/>
      <c r="E128" s="1" t="n"/>
      <c r="F128" s="4" t="n"/>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22">
      <c r="A129" s="1" t="n"/>
      <c r="B129" s="1" t="n"/>
      <c r="C129" s="1" t="n"/>
      <c r="D129" s="1" t="n"/>
      <c r="E129" s="1" t="n"/>
      <c r="F129" s="4" t="n"/>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22">
      <c r="A130" s="1" t="n"/>
      <c r="B130" s="1" t="n"/>
      <c r="C130" s="1" t="n"/>
      <c r="D130" s="1" t="n"/>
      <c r="E130" s="1" t="n"/>
      <c r="F130" s="4" t="n"/>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22">
      <c r="A131" s="1" t="n"/>
      <c r="B131" s="1" t="n"/>
      <c r="C131" s="1" t="n"/>
      <c r="D131" s="1" t="n"/>
      <c r="E131" s="1" t="n"/>
      <c r="F131" s="4" t="n"/>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22">
      <c r="A132" s="1" t="n"/>
      <c r="B132" s="1" t="n"/>
      <c r="C132" s="1" t="n"/>
      <c r="D132" s="1" t="n"/>
      <c r="E132" s="1" t="n"/>
      <c r="F132" s="4" t="n"/>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22">
      <c r="A133" s="1" t="n"/>
      <c r="B133" s="1" t="n"/>
      <c r="C133" s="1" t="n"/>
      <c r="D133" s="1" t="n"/>
      <c r="E133" s="1" t="n"/>
      <c r="F133" s="4" t="n"/>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22">
      <c r="A134" s="1" t="n"/>
      <c r="B134" s="1" t="n"/>
      <c r="C134" s="1" t="n"/>
      <c r="D134" s="1" t="n"/>
      <c r="E134" s="1" t="n"/>
      <c r="F134" s="4" t="n"/>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22">
      <c r="A135" s="1" t="n"/>
      <c r="B135" s="1" t="n"/>
      <c r="C135" s="1" t="n"/>
      <c r="D135" s="1" t="n"/>
      <c r="E135" s="1" t="n"/>
      <c r="F135" s="4" t="n"/>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22">
      <c r="A136" s="1" t="n"/>
      <c r="B136" s="1" t="n"/>
      <c r="C136" s="1" t="n"/>
      <c r="D136" s="1" t="n"/>
      <c r="E136" s="1" t="n"/>
      <c r="F136" s="4" t="n"/>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22">
      <c r="A137" s="1" t="n"/>
      <c r="B137" s="1" t="n"/>
      <c r="C137" s="1" t="n"/>
      <c r="D137" s="1" t="n"/>
      <c r="E137" s="1" t="n"/>
      <c r="F137" s="4" t="n"/>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22">
      <c r="A138" s="1" t="n"/>
      <c r="B138" s="1" t="n"/>
      <c r="C138" s="1" t="n"/>
      <c r="D138" s="1" t="n"/>
      <c r="E138" s="1" t="n"/>
      <c r="F138" s="4" t="n"/>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22">
      <c r="A139" s="1" t="n"/>
      <c r="B139" s="1" t="n"/>
      <c r="C139" s="1" t="n"/>
      <c r="D139" s="1" t="n"/>
      <c r="E139" s="1" t="n"/>
      <c r="F139" s="4" t="n"/>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22">
      <c r="A140" s="1" t="n"/>
      <c r="B140" s="1" t="n"/>
      <c r="C140" s="1" t="n"/>
      <c r="D140" s="1" t="n"/>
      <c r="E140" s="1" t="n"/>
      <c r="F140" s="4" t="n"/>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22">
      <c r="A141" s="1" t="n"/>
      <c r="B141" s="1" t="n"/>
      <c r="C141" s="1" t="n"/>
      <c r="D141" s="1" t="n"/>
      <c r="E141" s="1" t="n"/>
      <c r="F141" s="4" t="n"/>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22">
      <c r="A142" s="1" t="n"/>
      <c r="B142" s="1" t="n"/>
      <c r="C142" s="1" t="n"/>
      <c r="D142" s="1" t="n"/>
      <c r="E142" s="1" t="n"/>
      <c r="F142" s="4" t="n"/>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22">
      <c r="A143" s="1" t="n"/>
      <c r="B143" s="1" t="n"/>
      <c r="C143" s="1" t="n"/>
      <c r="D143" s="1" t="n"/>
      <c r="E143" s="1" t="n"/>
      <c r="F143" s="4" t="n"/>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22">
      <c r="A144" s="1" t="n"/>
      <c r="B144" s="1" t="n"/>
      <c r="C144" s="1" t="n"/>
      <c r="D144" s="1" t="n"/>
      <c r="E144" s="1" t="n"/>
      <c r="F144" s="4" t="n"/>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22">
      <c r="A145" s="1" t="n"/>
      <c r="B145" s="1" t="n"/>
      <c r="C145" s="1" t="n"/>
      <c r="D145" s="1" t="n"/>
      <c r="E145" s="1" t="n"/>
      <c r="F145" s="4" t="n"/>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22">
      <c r="A146" s="1" t="n"/>
      <c r="B146" s="1" t="n"/>
      <c r="C146" s="1" t="n"/>
      <c r="D146" s="1" t="n"/>
      <c r="E146" s="1" t="n"/>
      <c r="F146" s="4" t="n"/>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22">
      <c r="A147" s="1" t="n"/>
      <c r="B147" s="1" t="n"/>
      <c r="C147" s="1" t="n"/>
      <c r="D147" s="1" t="n"/>
      <c r="E147" s="1" t="n"/>
      <c r="F147" s="4" t="n"/>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22">
      <c r="A148" s="1" t="n"/>
      <c r="B148" s="1" t="n"/>
      <c r="C148" s="1" t="n"/>
      <c r="D148" s="1" t="n"/>
      <c r="E148" s="1" t="n"/>
      <c r="F148" s="4" t="n"/>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22">
      <c r="A149" s="1" t="n"/>
      <c r="B149" s="1" t="n"/>
      <c r="C149" s="1" t="n"/>
      <c r="D149" s="1" t="n"/>
      <c r="E149" s="1" t="n"/>
      <c r="F149" s="4" t="n"/>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22">
      <c r="A150" s="1" t="n"/>
      <c r="B150" s="1" t="n"/>
      <c r="C150" s="1" t="n"/>
      <c r="D150" s="1" t="n"/>
      <c r="E150" s="1" t="n"/>
      <c r="F150" s="4" t="n"/>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22">
      <c r="A151" s="1" t="n"/>
      <c r="B151" s="1" t="n"/>
      <c r="C151" s="1" t="n"/>
      <c r="D151" s="1" t="n"/>
      <c r="E151" s="1" t="n"/>
      <c r="F151" s="4" t="n"/>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22">
      <c r="A152" s="1" t="n"/>
      <c r="B152" s="1" t="n"/>
      <c r="C152" s="1" t="n"/>
      <c r="D152" s="1" t="n"/>
      <c r="E152" s="1" t="n"/>
      <c r="F152" s="4" t="n"/>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22">
      <c r="A153" s="1" t="n"/>
      <c r="B153" s="1" t="n"/>
      <c r="C153" s="1" t="n"/>
      <c r="D153" s="1" t="n"/>
      <c r="E153" s="1" t="n"/>
      <c r="F153" s="4" t="n"/>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22">
      <c r="A154" s="1" t="n"/>
      <c r="B154" s="1" t="n"/>
      <c r="C154" s="1" t="n"/>
      <c r="D154" s="1" t="n"/>
      <c r="E154" s="1" t="n"/>
      <c r="F154" s="4" t="n"/>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22">
      <c r="A155" s="1" t="n"/>
      <c r="B155" s="1" t="n"/>
      <c r="C155" s="1" t="n"/>
      <c r="D155" s="1" t="n"/>
      <c r="E155" s="1" t="n"/>
      <c r="F155" s="4" t="n"/>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22">
      <c r="A156" s="1" t="n"/>
      <c r="B156" s="1" t="n"/>
      <c r="C156" s="1" t="n"/>
      <c r="D156" s="1" t="n"/>
      <c r="E156" s="1" t="n"/>
      <c r="F156" s="4" t="n"/>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22">
      <c r="A157" s="1" t="n"/>
      <c r="B157" s="1" t="n"/>
      <c r="C157" s="1" t="n"/>
      <c r="D157" s="1" t="n"/>
      <c r="E157" s="1" t="n"/>
      <c r="F157" s="4" t="n"/>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22">
      <c r="A158" s="1" t="n"/>
      <c r="B158" s="1" t="n"/>
      <c r="C158" s="1" t="n"/>
      <c r="D158" s="1" t="n"/>
      <c r="E158" s="1" t="n"/>
      <c r="F158" s="4" t="n"/>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22">
      <c r="A159" s="1" t="n"/>
      <c r="B159" s="1" t="n"/>
      <c r="C159" s="1" t="n"/>
      <c r="D159" s="1" t="n"/>
      <c r="E159" s="1" t="n"/>
      <c r="F159" s="4" t="n"/>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22">
      <c r="A160" s="1" t="n"/>
      <c r="B160" s="1" t="n"/>
      <c r="C160" s="1" t="n"/>
      <c r="D160" s="1" t="n"/>
      <c r="E160" s="1" t="n"/>
      <c r="F160" s="4" t="n"/>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22">
      <c r="A161" s="1" t="n"/>
      <c r="B161" s="1" t="n"/>
      <c r="C161" s="1" t="n"/>
      <c r="D161" s="1" t="n"/>
      <c r="E161" s="1" t="n"/>
      <c r="F161" s="4" t="n"/>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22">
      <c r="A162" s="1" t="n"/>
      <c r="B162" s="1" t="n"/>
      <c r="C162" s="1" t="n"/>
      <c r="D162" s="1" t="n"/>
      <c r="E162" s="1" t="n"/>
      <c r="F162" s="4" t="n"/>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22">
      <c r="A163" s="1" t="n"/>
      <c r="B163" s="1" t="n"/>
      <c r="C163" s="1" t="n"/>
      <c r="D163" s="1" t="n"/>
      <c r="E163" s="1" t="n"/>
      <c r="F163" s="4" t="n"/>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22">
      <c r="A164" s="1" t="n"/>
      <c r="B164" s="1" t="n"/>
      <c r="C164" s="1" t="n"/>
      <c r="D164" s="1" t="n"/>
      <c r="E164" s="1" t="n"/>
      <c r="F164" s="4" t="n"/>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22">
      <c r="A165" s="1" t="n"/>
      <c r="B165" s="1" t="n"/>
      <c r="C165" s="1" t="n"/>
      <c r="D165" s="1" t="n"/>
      <c r="E165" s="1" t="n"/>
      <c r="F165" s="4" t="n"/>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22">
      <c r="A166" s="1" t="n"/>
      <c r="B166" s="1" t="n"/>
      <c r="C166" s="1" t="n"/>
      <c r="D166" s="1" t="n"/>
      <c r="E166" s="1" t="n"/>
      <c r="F166" s="4" t="n"/>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22">
      <c r="A167" s="1" t="n"/>
      <c r="B167" s="1" t="n"/>
      <c r="C167" s="1" t="n"/>
      <c r="D167" s="1" t="n"/>
      <c r="E167" s="1" t="n"/>
      <c r="F167" s="4" t="n"/>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22">
      <c r="A168" s="1" t="n"/>
      <c r="B168" s="1" t="n"/>
      <c r="C168" s="1" t="n"/>
      <c r="D168" s="1" t="n"/>
      <c r="E168" s="1" t="n"/>
      <c r="F168" s="4" t="n"/>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22">
      <c r="A169" s="1" t="n"/>
      <c r="B169" s="1" t="n"/>
      <c r="C169" s="1" t="n"/>
      <c r="D169" s="1" t="n"/>
      <c r="E169" s="1" t="n"/>
      <c r="F169" s="4" t="n"/>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22">
      <c r="A170" s="1" t="n"/>
      <c r="B170" s="1" t="n"/>
      <c r="C170" s="1" t="n"/>
      <c r="D170" s="1" t="n"/>
      <c r="E170" s="1" t="n"/>
      <c r="F170" s="4" t="n"/>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22">
      <c r="A171" s="1" t="n"/>
      <c r="B171" s="1" t="n"/>
      <c r="C171" s="1" t="n"/>
      <c r="D171" s="1" t="n"/>
      <c r="E171" s="1" t="n"/>
      <c r="F171" s="4" t="n"/>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22">
      <c r="A172" s="1" t="n"/>
      <c r="B172" s="1" t="n"/>
      <c r="C172" s="1" t="n"/>
      <c r="D172" s="1" t="n"/>
      <c r="E172" s="1" t="n"/>
      <c r="F172" s="4" t="n"/>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22">
      <c r="A173" s="1" t="n"/>
      <c r="B173" s="1" t="n"/>
      <c r="C173" s="1" t="n"/>
      <c r="D173" s="1" t="n"/>
      <c r="E173" s="1" t="n"/>
      <c r="F173" s="4" t="n"/>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22">
      <c r="A174" s="1" t="n"/>
      <c r="B174" s="1" t="n"/>
      <c r="C174" s="1" t="n"/>
      <c r="D174" s="1" t="n"/>
      <c r="E174" s="1" t="n"/>
      <c r="F174" s="4" t="n"/>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22">
      <c r="A175" s="1" t="n"/>
      <c r="B175" s="1" t="n"/>
      <c r="C175" s="1" t="n"/>
      <c r="D175" s="1" t="n"/>
      <c r="E175" s="1" t="n"/>
      <c r="F175" s="4" t="n"/>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22">
      <c r="A176" s="1" t="n"/>
      <c r="B176" s="1" t="n"/>
      <c r="C176" s="1" t="n"/>
      <c r="D176" s="1" t="n"/>
      <c r="E176" s="1" t="n"/>
      <c r="F176" s="4" t="n"/>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22">
      <c r="A177" s="1" t="n"/>
      <c r="B177" s="1" t="n"/>
      <c r="C177" s="1" t="n"/>
      <c r="D177" s="1" t="n"/>
      <c r="E177" s="1"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22">
      <c r="A178" s="1" t="n"/>
      <c r="B178" s="1" t="n"/>
      <c r="C178" s="1" t="n"/>
      <c r="D178" s="1" t="n"/>
      <c r="E178" s="1" t="n"/>
      <c r="F178" s="4" t="n"/>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22">
      <c r="A179" s="1" t="n"/>
      <c r="B179" s="1" t="n"/>
      <c r="C179" s="1" t="n"/>
      <c r="D179" s="1" t="n"/>
      <c r="E179" s="1" t="n"/>
      <c r="F179" s="4" t="n"/>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22">
      <c r="A180" s="1" t="n"/>
      <c r="B180" s="1" t="n"/>
      <c r="C180" s="1" t="n"/>
      <c r="D180" s="1" t="n"/>
      <c r="E180" s="1" t="n"/>
      <c r="F180" s="4" t="n"/>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22">
      <c r="A181" s="1" t="n"/>
      <c r="B181" s="1" t="n"/>
      <c r="C181" s="1" t="n"/>
      <c r="D181" s="1" t="n"/>
      <c r="E181" s="1" t="n"/>
      <c r="F181" s="4" t="n"/>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22">
      <c r="A182" s="1" t="n"/>
      <c r="B182" s="1" t="n"/>
      <c r="C182" s="1" t="n"/>
      <c r="D182" s="1" t="n"/>
      <c r="E182" s="1" t="n"/>
      <c r="F182" s="4" t="n"/>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22">
      <c r="A183" s="1" t="n"/>
      <c r="B183" s="1" t="n"/>
      <c r="C183" s="1" t="n"/>
      <c r="D183" s="1" t="n"/>
      <c r="E183" s="1" t="n"/>
      <c r="F183" s="4" t="n"/>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22">
      <c r="A184" s="1" t="n"/>
      <c r="B184" s="1" t="n"/>
      <c r="C184" s="1" t="n"/>
      <c r="D184" s="1" t="n"/>
      <c r="E184" s="1" t="n"/>
      <c r="F184" s="4" t="n"/>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22">
      <c r="A185" s="1" t="n"/>
      <c r="B185" s="1" t="n"/>
      <c r="C185" s="1" t="n"/>
      <c r="D185" s="1" t="n"/>
      <c r="E185" s="1" t="n"/>
      <c r="F185" s="4" t="n"/>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22">
      <c r="A186" s="1" t="n"/>
      <c r="B186" s="1" t="n"/>
      <c r="C186" s="1" t="n"/>
      <c r="D186" s="1" t="n"/>
      <c r="E186" s="1" t="n"/>
      <c r="F186" s="4" t="n"/>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22">
      <c r="A187" s="1" t="n"/>
      <c r="B187" s="1" t="n"/>
      <c r="C187" s="1" t="n"/>
      <c r="D187" s="1" t="n"/>
      <c r="E187" s="1" t="n"/>
      <c r="F187" s="4" t="n"/>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22">
      <c r="A188" s="1" t="n"/>
      <c r="B188" s="1" t="n"/>
      <c r="C188" s="1" t="n"/>
      <c r="D188" s="1" t="n"/>
      <c r="E188" s="1" t="n"/>
      <c r="F188" s="4" t="n"/>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22">
      <c r="A189" s="1" t="n"/>
      <c r="B189" s="1" t="n"/>
      <c r="C189" s="1" t="n"/>
      <c r="D189" s="1" t="n"/>
      <c r="E189" s="1" t="n"/>
      <c r="F189" s="4" t="n"/>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22">
      <c r="A190" s="1" t="n"/>
      <c r="B190" s="1" t="n"/>
      <c r="C190" s="1" t="n"/>
      <c r="D190" s="1" t="n"/>
      <c r="E190" s="1" t="n"/>
      <c r="F190" s="4" t="n"/>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22">
      <c r="A191" s="1" t="n"/>
      <c r="B191" s="1" t="n"/>
      <c r="C191" s="1" t="n"/>
      <c r="D191" s="1" t="n"/>
      <c r="E191" s="1" t="n"/>
      <c r="F191" s="4" t="n"/>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22">
      <c r="A192" s="1" t="n"/>
      <c r="B192" s="1" t="n"/>
      <c r="C192" s="1" t="n"/>
      <c r="D192" s="1" t="n"/>
      <c r="E192" s="1" t="n"/>
      <c r="F192" s="4" t="n"/>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22">
      <c r="A193" s="1" t="n"/>
      <c r="B193" s="1" t="n"/>
      <c r="C193" s="1" t="n"/>
      <c r="D193" s="1" t="n"/>
      <c r="E193" s="1" t="n"/>
      <c r="F193" s="4" t="n"/>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22">
      <c r="A194" s="1" t="n"/>
      <c r="B194" s="1" t="n"/>
      <c r="C194" s="1" t="n"/>
      <c r="D194" s="1" t="n"/>
      <c r="E194" s="1" t="n"/>
      <c r="F194" s="4" t="n"/>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22">
      <c r="A195" s="1" t="n"/>
      <c r="B195" s="1" t="n"/>
      <c r="C195" s="1" t="n"/>
      <c r="D195" s="1" t="n"/>
      <c r="E195" s="1" t="n"/>
      <c r="F195" s="4" t="n"/>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22">
      <c r="A196" s="1" t="n"/>
      <c r="B196" s="1" t="n"/>
      <c r="C196" s="1" t="n"/>
      <c r="D196" s="1" t="n"/>
      <c r="E196" s="1" t="n"/>
      <c r="F196" s="4" t="n"/>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22">
      <c r="A197" s="1" t="n"/>
      <c r="B197" s="1" t="n"/>
      <c r="C197" s="1" t="n"/>
      <c r="D197" s="1" t="n"/>
      <c r="E197" s="1" t="n"/>
      <c r="F197" s="4" t="n"/>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22">
      <c r="A198" s="1" t="n"/>
      <c r="B198" s="1" t="n"/>
      <c r="C198" s="1" t="n"/>
      <c r="D198" s="1" t="n"/>
      <c r="E198" s="1" t="n"/>
      <c r="F198" s="4" t="n"/>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22">
      <c r="A199" s="1" t="n"/>
      <c r="B199" s="1" t="n"/>
      <c r="C199" s="1" t="n"/>
      <c r="D199" s="1" t="n"/>
      <c r="E199" s="1" t="n"/>
      <c r="F199" s="4" t="n"/>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22">
      <c r="A200" s="1" t="n"/>
      <c r="B200" s="1" t="n"/>
      <c r="C200" s="1" t="n"/>
      <c r="D200" s="1" t="n"/>
      <c r="E200" s="1" t="n"/>
      <c r="F200" s="4" t="n"/>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22">
      <c r="A201" s="1" t="n"/>
      <c r="B201" s="1" t="n"/>
      <c r="C201" s="1" t="n"/>
      <c r="D201" s="1" t="n"/>
      <c r="E201" s="1" t="n"/>
      <c r="F201" s="4" t="n"/>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22">
      <c r="A202" s="1" t="n"/>
      <c r="B202" s="1" t="n"/>
      <c r="C202" s="1" t="n"/>
      <c r="D202" s="1" t="n"/>
      <c r="E202" s="1" t="n"/>
      <c r="F202" s="4" t="n"/>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22">
      <c r="A203" s="1" t="n"/>
      <c r="B203" s="1" t="n"/>
      <c r="C203" s="1" t="n"/>
      <c r="D203" s="1" t="n"/>
      <c r="E203" s="1" t="n"/>
      <c r="F203" s="4" t="n"/>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22">
      <c r="A204" s="1" t="n"/>
      <c r="B204" s="1" t="n"/>
      <c r="C204" s="1" t="n"/>
      <c r="D204" s="1" t="n"/>
      <c r="E204" s="1" t="n"/>
      <c r="F204" s="4" t="n"/>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22">
      <c r="A205" s="1" t="n"/>
      <c r="B205" s="1" t="n"/>
      <c r="C205" s="1" t="n"/>
      <c r="D205" s="1" t="n"/>
      <c r="E205" s="1" t="n"/>
      <c r="F205" s="4" t="n"/>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22">
      <c r="A206" s="1" t="n"/>
      <c r="B206" s="1" t="n"/>
      <c r="C206" s="1" t="n"/>
      <c r="D206" s="1" t="n"/>
      <c r="E206" s="1" t="n"/>
      <c r="F206" s="4" t="n"/>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22">
      <c r="A207" s="1" t="n"/>
      <c r="B207" s="1" t="n"/>
      <c r="C207" s="1" t="n"/>
      <c r="D207" s="1" t="n"/>
      <c r="E207" s="1" t="n"/>
      <c r="F207" s="4" t="n"/>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22">
      <c r="A208" s="1" t="n"/>
      <c r="B208" s="1" t="n"/>
      <c r="C208" s="1" t="n"/>
      <c r="D208" s="1" t="n"/>
      <c r="E208" s="1" t="n"/>
      <c r="F208" s="4" t="n"/>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22">
      <c r="A209" s="1" t="n"/>
      <c r="B209" s="1" t="n"/>
      <c r="C209" s="1" t="n"/>
      <c r="D209" s="1" t="n"/>
      <c r="E209" s="1" t="n"/>
      <c r="F209" s="4" t="n"/>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22">
      <c r="A210" s="1" t="n"/>
      <c r="B210" s="1" t="n"/>
      <c r="C210" s="1" t="n"/>
      <c r="D210" s="1" t="n"/>
      <c r="E210" s="1" t="n"/>
      <c r="F210" s="4" t="n"/>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22">
      <c r="A211" s="1" t="n"/>
      <c r="B211" s="1" t="n"/>
      <c r="C211" s="1" t="n"/>
      <c r="D211" s="1" t="n"/>
      <c r="E211" s="1" t="n"/>
      <c r="F211" s="4" t="n"/>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22">
      <c r="A212" s="1" t="n"/>
      <c r="B212" s="1" t="n"/>
      <c r="C212" s="1" t="n"/>
      <c r="D212" s="1" t="n"/>
      <c r="E212" s="1" t="n"/>
      <c r="F212" s="4" t="n"/>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22">
      <c r="A213" s="1" t="n"/>
      <c r="B213" s="1" t="n"/>
      <c r="C213" s="1" t="n"/>
      <c r="D213" s="1" t="n"/>
      <c r="E213" s="1" t="n"/>
      <c r="F213" s="4" t="n"/>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22">
      <c r="A214" s="1" t="n"/>
      <c r="B214" s="1" t="n"/>
      <c r="C214" s="1" t="n"/>
      <c r="D214" s="1" t="n"/>
      <c r="E214" s="1" t="n"/>
      <c r="F214" s="4" t="n"/>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22">
      <c r="A215" s="1" t="n"/>
      <c r="B215" s="1" t="n"/>
      <c r="C215" s="1" t="n"/>
      <c r="D215" s="1" t="n"/>
      <c r="E215" s="1" t="n"/>
      <c r="F215" s="4" t="n"/>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22">
      <c r="A216" s="1" t="n"/>
      <c r="B216" s="1" t="n"/>
      <c r="C216" s="1" t="n"/>
      <c r="D216" s="1" t="n"/>
      <c r="E216" s="1" t="n"/>
      <c r="F216" s="4" t="n"/>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22">
      <c r="A217" s="1" t="n"/>
      <c r="B217" s="1" t="n"/>
      <c r="C217" s="1" t="n"/>
      <c r="D217" s="1" t="n"/>
      <c r="E217" s="1" t="n"/>
      <c r="F217" s="4" t="n"/>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22">
      <c r="A218" s="1" t="n"/>
      <c r="B218" s="1" t="n"/>
      <c r="C218" s="1" t="n"/>
      <c r="D218" s="1" t="n"/>
      <c r="E218" s="1" t="n"/>
      <c r="F218" s="4" t="n"/>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22">
      <c r="A219" s="1" t="n"/>
      <c r="B219" s="1" t="n"/>
      <c r="C219" s="1" t="n"/>
      <c r="D219" s="1" t="n"/>
      <c r="E219" s="1" t="n"/>
      <c r="F219" s="4" t="n"/>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22">
      <c r="A220" s="1" t="n"/>
      <c r="B220" s="1" t="n"/>
      <c r="C220" s="1" t="n"/>
      <c r="D220" s="1" t="n"/>
      <c r="E220" s="1" t="n"/>
      <c r="F220" s="4" t="n"/>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22">
      <c r="A221" s="1" t="n"/>
      <c r="B221" s="1" t="n"/>
      <c r="C221" s="1" t="n"/>
      <c r="D221" s="1" t="n"/>
      <c r="E221" s="1" t="n"/>
      <c r="F221" s="4" t="n"/>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22">
      <c r="A222" s="1" t="n"/>
      <c r="B222" s="1" t="n"/>
      <c r="C222" s="1" t="n"/>
      <c r="D222" s="1" t="n"/>
      <c r="E222" s="1" t="n"/>
      <c r="F222" s="4" t="n"/>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22">
      <c r="A223" s="1" t="n"/>
      <c r="B223" s="1" t="n"/>
      <c r="C223" s="1" t="n"/>
      <c r="D223" s="1" t="n"/>
      <c r="E223" s="1" t="n"/>
      <c r="F223" s="4" t="n"/>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22">
      <c r="A224" s="1" t="n"/>
      <c r="B224" s="1" t="n"/>
      <c r="C224" s="1" t="n"/>
      <c r="D224" s="1" t="n"/>
      <c r="E224" s="1" t="n"/>
      <c r="F224" s="4" t="n"/>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22">
      <c r="A225" s="1" t="n"/>
      <c r="B225" s="1" t="n"/>
      <c r="C225" s="1" t="n"/>
      <c r="D225" s="1" t="n"/>
      <c r="E225" s="1" t="n"/>
      <c r="F225" s="4" t="n"/>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22">
      <c r="A226" s="1" t="n"/>
      <c r="B226" s="1" t="n"/>
      <c r="C226" s="1" t="n"/>
      <c r="D226" s="1" t="n"/>
      <c r="E226" s="1"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22">
      <c r="A227" s="1" t="n"/>
      <c r="B227" s="1" t="n"/>
      <c r="C227" s="1" t="n"/>
      <c r="D227" s="1" t="n"/>
      <c r="E227" s="1" t="n"/>
      <c r="F227" s="4" t="n"/>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22">
      <c r="A228" s="1" t="n"/>
      <c r="B228" s="1" t="n"/>
      <c r="C228" s="1" t="n"/>
      <c r="D228" s="1" t="n"/>
      <c r="E228" s="1" t="n"/>
      <c r="F228" s="4" t="n"/>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22">
      <c r="A229" s="1" t="n"/>
      <c r="B229" s="1" t="n"/>
      <c r="C229" s="1" t="n"/>
      <c r="D229" s="1" t="n"/>
      <c r="E229" s="1"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22">
      <c r="A230" s="1" t="n"/>
      <c r="B230" s="1" t="n"/>
      <c r="C230" s="1" t="n"/>
      <c r="D230" s="1" t="n"/>
      <c r="E230" s="1"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22">
      <c r="A231" s="1" t="n"/>
      <c r="B231" s="1" t="n"/>
      <c r="C231" s="1" t="n"/>
      <c r="D231" s="1" t="n"/>
      <c r="E231" s="1"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22">
      <c r="A232" s="1" t="n"/>
      <c r="B232" s="1" t="n"/>
      <c r="C232" s="1" t="n"/>
      <c r="D232" s="1" t="n"/>
      <c r="E232" s="1"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22">
      <c r="A233" s="1" t="n"/>
      <c r="B233" s="1" t="n"/>
      <c r="C233" s="1" t="n"/>
      <c r="D233" s="1" t="n"/>
      <c r="E233" s="1"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22">
      <c r="A234" s="1" t="n"/>
      <c r="B234" s="1" t="n"/>
      <c r="C234" s="1" t="n"/>
      <c r="D234" s="1" t="n"/>
      <c r="E234" s="1" t="n"/>
      <c r="F234" s="4" t="n"/>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22">
      <c r="A235" s="1" t="n"/>
      <c r="B235" s="1" t="n"/>
      <c r="C235" s="1" t="n"/>
      <c r="D235" s="1" t="n"/>
      <c r="E235" s="1" t="n"/>
      <c r="F235" s="4" t="n"/>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22">
      <c r="A236" s="4" t="n"/>
      <c r="B236" s="4" t="n"/>
      <c r="C236" s="4" t="n"/>
      <c r="D236" s="4" t="n"/>
      <c r="E236" s="4" t="n"/>
      <c r="F236" s="4" t="n"/>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22">
      <c r="A237" s="4" t="n"/>
      <c r="B237" s="4" t="n"/>
      <c r="C237" s="4" t="n"/>
      <c r="D237" s="4" t="n"/>
      <c r="E237" s="4" t="n"/>
      <c r="F237" s="4" t="n"/>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22">
      <c r="A238" s="4" t="n"/>
      <c r="B238" s="4" t="n"/>
      <c r="C238" s="4" t="n"/>
      <c r="D238" s="4" t="n"/>
      <c r="E238" s="4" t="n"/>
      <c r="F238" s="4" t="n"/>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22">
      <c r="A239" s="4" t="n"/>
      <c r="B239" s="4" t="n"/>
      <c r="C239" s="4" t="n"/>
      <c r="D239" s="4" t="n"/>
      <c r="E239" s="4" t="n"/>
      <c r="F239" s="4" t="n"/>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22">
      <c r="A240" s="4" t="n"/>
      <c r="B240" s="4" t="n"/>
      <c r="C240" s="4" t="n"/>
      <c r="D240" s="4" t="n"/>
      <c r="E240" s="4" t="n"/>
      <c r="F240" s="4" t="n"/>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22">
      <c r="A241" s="4" t="n"/>
      <c r="B241" s="4" t="n"/>
      <c r="C241" s="4" t="n"/>
      <c r="D241" s="4" t="n"/>
      <c r="E241" s="4" t="n"/>
      <c r="F241" s="4" t="n"/>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22">
      <c r="A242" s="4" t="n"/>
      <c r="B242" s="4" t="n"/>
      <c r="C242" s="4" t="n"/>
      <c r="D242" s="4" t="n"/>
      <c r="E242" s="4" t="n"/>
      <c r="F242" s="4" t="n"/>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22">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22">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22">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22">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22">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22">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22">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22">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22">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22">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22">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22">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22">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22">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22">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22">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22">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22">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22">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22">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22">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22">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22">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22">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22">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22">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22">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22">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22">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22">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22">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22">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22">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22">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22">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22">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22">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22">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22">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22">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22">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22">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22">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22">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22">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22">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22">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22">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22">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22">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22">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22">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22">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22">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22">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22">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22">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22">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22">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22">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22">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22">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22">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22">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22">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22">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22">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22">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22">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22">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22">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22">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22">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22">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22">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22">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22">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22">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22">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22">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22">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22">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22">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22">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22">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22">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22">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22">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22">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22">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22">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22">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22">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22">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22">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22">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22">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22">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22">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22">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22">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22">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22">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22">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22">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22">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22">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22">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22">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22">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22">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22">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22">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22">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22">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22">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22">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22">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22">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22">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22">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22">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22">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22">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22">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22">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22">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22">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22">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22">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22">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22">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22">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22">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22">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22">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22">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22">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22">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22">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22">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22">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22">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22">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22">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22">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22">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22">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22">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22">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22">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22">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22">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22">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22">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22">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22">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22">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22">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22">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22">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22">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22">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22">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22">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22">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22">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22">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22">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22">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22">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22">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22">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22">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22">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22">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22">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22">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22">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22">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22">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22">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22">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22">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22">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22">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22">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22">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22">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22">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22">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22">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22">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22">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22">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22">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22">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22">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22">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22">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22">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22">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22">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22">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22">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22">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22">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22">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22">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22">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22">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22">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22">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22">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22">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22">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22">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22">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22">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22">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22">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22">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22">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22">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22">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22">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22">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22">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22">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22">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22">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22">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22">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22">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22">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22">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22">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22">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22">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22">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22">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22">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22">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22">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22">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22">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22">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22">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22">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22">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22">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22">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22">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22">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22">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22">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22">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22">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22">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22">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22">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22">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22">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22">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22">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22">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22">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22">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22">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22">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22">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22">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22">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22">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22">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22">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22">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22">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22">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22">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22">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22">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22">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22">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22">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22">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22">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22">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22">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22">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22">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22">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22">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22">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22">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22">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22">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22">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22">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22">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22">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22">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22">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22">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22">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22">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22">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22">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22">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22">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22">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22">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22">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22">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22">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22">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22">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22">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22">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22">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22">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22">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22">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22">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22">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22">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22">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22">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22">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22">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22">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22">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22">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22">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22">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22">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22">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22">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22">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22">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22">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22">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22">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22">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22">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22">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22">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22">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22">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22">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22">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22">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22">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22">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22">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22">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22">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22">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22">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22">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22">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22">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22">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22">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22">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22">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22">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22">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22">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22">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22">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22">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22">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22">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22">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22">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22">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22">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22">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22">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22">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22">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22">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22">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22">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22">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22">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22">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22">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22">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22">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22">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22">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22">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22">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22">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22">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22">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22">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22">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22">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22">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22">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22">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22">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22">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22">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22">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22">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22">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22">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22">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22">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22">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22">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22">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22">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22">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22">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22">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22">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22">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22">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22">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22">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22">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22">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22">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22">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22">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22">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22">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22">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22">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22">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22">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22">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22">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22">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22">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22">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22">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22">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22">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22">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22">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22">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22">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22">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22">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22">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22">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22">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22">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22">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22">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22">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22">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22">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22">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22">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22">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22">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22">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22">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22">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22">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22">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22">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22">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22">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22">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22">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22">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22">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22">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22">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22">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22">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22">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22">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22">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22">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22">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22">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22">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22">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22">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22">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22">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22">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22">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22">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22">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22">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22">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22">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22">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22">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22">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22">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22">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22">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22">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22">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22">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22">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22">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22">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22">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22">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22">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22">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22">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22">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22">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22">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22">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22">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22">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22">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22">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22">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22">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22">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22">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22">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22">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22">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22">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22">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22">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22">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22">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22">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22">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22">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22">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22">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22">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22">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22">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22">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22">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22">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22">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22">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22">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22">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22">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22">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22">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22">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22">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22">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22">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22">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22">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22">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22">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22">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22">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22">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22">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22">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22">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22">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22">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22">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22">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22">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22">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22">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22">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22">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22">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22">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22">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22">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22">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22">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22">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22">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22">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22">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22">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22">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22">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22">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22">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22">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22">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22">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22">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22">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22">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22">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22">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22">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22">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22">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22">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22">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22">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22">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22">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22">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22">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22">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22">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22">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22">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22">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22">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22">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22">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22">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22">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22">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22">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22">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22">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22">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22">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22">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22">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22">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22">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22">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22">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22">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22">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22">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22">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22">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22">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22">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22">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22">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22">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22">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22">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22">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22">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22">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22">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22">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22">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22">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22">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22">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22">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22">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22">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22">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22">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22">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22">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22">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22">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22">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22">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22">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22">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22">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22">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22">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22">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22">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22">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22">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22">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22">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22">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22">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22">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22">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22">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22">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22">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22">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22">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22">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22">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22">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22">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22">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22">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22">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22">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22">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22">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22">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22">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22">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22">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22">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22">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22">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22">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22">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22">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22">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22">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22">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22">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22">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22">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22">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22">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22">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22">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22">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22">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22">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22">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22">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22">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22">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22">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22">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22">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22">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22">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22">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22">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22">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22">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22">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22">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22">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22">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22">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22">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22">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22">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22">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22">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22">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22">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22">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22">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22">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22">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22">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22">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22">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22">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22">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22">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22">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22">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22">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22">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22">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22">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22">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22">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sheetData>
  <mergeCells count="7">
    <mergeCell ref="B9:E9"/>
    <mergeCell ref="B8:E8"/>
    <mergeCell ref="B35:E35"/>
    <mergeCell ref="B6:E6"/>
    <mergeCell ref="B7:E7"/>
    <mergeCell ref="B5:E5"/>
    <mergeCell ref="B34:E34"/>
  </mergeCells>
  <pageMargins left="0.75" right="0.75" top="1" bottom="1" header="0" footer="0"/>
  <pageSetup orientation="landscape" paperSize="9" fitToHeight="0"/>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Z1003"/>
  <sheetViews>
    <sheetView workbookViewId="0">
      <selection activeCell="A1" sqref="A1"/>
    </sheetView>
  </sheetViews>
  <sheetFormatPr baseColWidth="8" defaultColWidth="14.43" defaultRowHeight="15" customHeight="1"/>
  <cols>
    <col width="10" customWidth="1" style="22" min="1" max="1"/>
    <col width="52" customWidth="1" style="22" min="2" max="2"/>
    <col width="12" customWidth="1" style="22" min="3" max="3"/>
    <col width="22" customWidth="1" style="22" min="4" max="4"/>
    <col width="13" customWidth="1" style="22" min="5" max="5"/>
    <col width="8.710000000000001" customWidth="1" style="22" min="6" max="7"/>
  </cols>
  <sheetData>
    <row r="1" ht="24" customHeight="1" s="22">
      <c r="A1" s="1" t="n"/>
      <c r="B1" s="1" t="n"/>
      <c r="C1" s="2" t="inlineStr">
        <is>
          <t>Plan de la iteración 6</t>
        </is>
      </c>
      <c r="D1" s="3" t="n"/>
      <c r="E1" s="3" t="n"/>
      <c r="F1" s="3" t="n"/>
      <c r="G1" s="3" t="n"/>
      <c r="H1" s="4" t="n"/>
      <c r="I1" s="4" t="n"/>
      <c r="J1" s="4" t="n"/>
      <c r="K1" s="4" t="n"/>
      <c r="L1" s="4" t="n"/>
      <c r="M1" s="4" t="n"/>
      <c r="N1" s="4" t="n"/>
      <c r="O1" s="4" t="n"/>
      <c r="P1" s="4" t="n"/>
      <c r="Q1" s="4" t="n"/>
      <c r="R1" s="4" t="n"/>
      <c r="S1" s="4" t="n"/>
      <c r="T1" s="4" t="n"/>
      <c r="U1" s="4" t="n"/>
      <c r="V1" s="4" t="n"/>
      <c r="W1" s="4" t="n"/>
      <c r="X1" s="4" t="n"/>
      <c r="Y1" s="4" t="n"/>
      <c r="Z1" s="4" t="n"/>
    </row>
    <row r="2" ht="15" customHeight="1" s="22">
      <c r="A2" s="1" t="n"/>
      <c r="B2" s="1" t="n"/>
      <c r="C2" s="5" t="inlineStr">
        <is>
          <t>App móvil Aprueba - Módulo de Preguntas · Grupo 9 · PTY4614 Capstone, sección 002D</t>
        </is>
      </c>
      <c r="D2" s="3" t="n"/>
      <c r="E2" s="3" t="n"/>
      <c r="F2" s="3" t="n"/>
      <c r="G2" s="3" t="n"/>
      <c r="H2" s="4" t="n"/>
      <c r="I2" s="4" t="n"/>
      <c r="J2" s="4" t="n"/>
      <c r="K2" s="4" t="n"/>
      <c r="L2" s="4" t="n"/>
      <c r="M2" s="4" t="n"/>
      <c r="N2" s="4" t="n"/>
      <c r="O2" s="4" t="n"/>
      <c r="P2" s="4" t="n"/>
      <c r="Q2" s="4" t="n"/>
      <c r="R2" s="4" t="n"/>
      <c r="S2" s="4" t="n"/>
      <c r="T2" s="4" t="n"/>
      <c r="U2" s="4" t="n"/>
      <c r="V2" s="4" t="n"/>
      <c r="W2" s="4" t="n"/>
      <c r="X2" s="4" t="n"/>
      <c r="Y2" s="4" t="n"/>
      <c r="Z2" s="4" t="n"/>
    </row>
    <row r="3" ht="15" customHeight="1" s="22">
      <c r="A3" s="1" t="n"/>
      <c r="B3" s="1" t="n"/>
      <c r="C3" s="5" t="inlineStr">
        <is>
          <t>Metodología: Extreme Programming · Versión 1.8 · 18 de octubre de 2026</t>
        </is>
      </c>
      <c r="D3" s="3" t="n"/>
      <c r="E3" s="3" t="n"/>
      <c r="F3" s="3" t="n"/>
      <c r="G3" s="3" t="n"/>
      <c r="H3" s="4" t="n"/>
      <c r="I3" s="4" t="n"/>
      <c r="J3" s="4" t="n"/>
      <c r="K3" s="4" t="n"/>
      <c r="L3" s="4" t="n"/>
      <c r="M3" s="4" t="n"/>
      <c r="N3" s="4" t="n"/>
      <c r="O3" s="4" t="n"/>
      <c r="P3" s="4" t="n"/>
      <c r="Q3" s="4" t="n"/>
      <c r="R3" s="4" t="n"/>
      <c r="S3" s="4" t="n"/>
      <c r="T3" s="4" t="n"/>
      <c r="U3" s="4" t="n"/>
      <c r="V3" s="4" t="n"/>
      <c r="W3" s="4" t="n"/>
      <c r="X3" s="4" t="n"/>
      <c r="Y3" s="4" t="n"/>
      <c r="Z3" s="4" t="n"/>
    </row>
    <row r="4" ht="15" customHeight="1" s="22">
      <c r="A4" s="1" t="n"/>
      <c r="B4" s="1" t="n"/>
      <c r="C4" s="7" t="n"/>
      <c r="D4" s="1" t="n"/>
      <c r="E4" s="1" t="n"/>
      <c r="F4" s="4" t="n"/>
      <c r="G4" s="4" t="n"/>
      <c r="H4" s="4" t="n"/>
      <c r="I4" s="4" t="n"/>
      <c r="J4" s="4" t="n"/>
      <c r="K4" s="4" t="n"/>
      <c r="L4" s="4" t="n"/>
      <c r="M4" s="4" t="n"/>
      <c r="N4" s="4" t="n"/>
      <c r="O4" s="4" t="n"/>
      <c r="P4" s="4" t="n"/>
      <c r="Q4" s="4" t="n"/>
      <c r="R4" s="4" t="n"/>
      <c r="S4" s="4" t="n"/>
      <c r="T4" s="4" t="n"/>
      <c r="U4" s="4" t="n"/>
      <c r="V4" s="4" t="n"/>
      <c r="W4" s="4" t="n"/>
      <c r="X4" s="4" t="n"/>
      <c r="Y4" s="4" t="n"/>
      <c r="Z4" s="4" t="n"/>
    </row>
    <row r="5" ht="15" customHeight="1" s="22">
      <c r="A5" s="9" t="inlineStr">
        <is>
          <t>Semana</t>
        </is>
      </c>
      <c r="B5" s="12" t="inlineStr">
        <is>
          <t>Semana 10</t>
        </is>
      </c>
      <c r="C5" s="23" t="n"/>
      <c r="D5" s="23" t="n"/>
      <c r="E5" s="24" t="n"/>
      <c r="F5" s="4" t="n"/>
      <c r="G5" s="4" t="n"/>
      <c r="H5" s="4" t="n"/>
      <c r="I5" s="4" t="n"/>
      <c r="J5" s="4" t="n"/>
      <c r="K5" s="4" t="n"/>
      <c r="L5" s="4" t="n"/>
      <c r="M5" s="4" t="n"/>
      <c r="N5" s="4" t="n"/>
      <c r="O5" s="4" t="n"/>
      <c r="P5" s="4" t="n"/>
      <c r="Q5" s="4" t="n"/>
      <c r="R5" s="4" t="n"/>
      <c r="S5" s="4" t="n"/>
      <c r="T5" s="4" t="n"/>
      <c r="U5" s="4" t="n"/>
      <c r="V5" s="4" t="n"/>
      <c r="W5" s="4" t="n"/>
      <c r="X5" s="4" t="n"/>
      <c r="Y5" s="4" t="n"/>
      <c r="Z5" s="4" t="n"/>
    </row>
    <row r="6" ht="15" customHeight="1" s="22">
      <c r="A6" s="9" t="inlineStr">
        <is>
          <t>Fechas</t>
        </is>
      </c>
      <c r="B6" s="12" t="inlineStr">
        <is>
          <t>12/10 al 17/10/2026 · aceptación el 18/10/2026</t>
        </is>
      </c>
      <c r="C6" s="23" t="n"/>
      <c r="D6" s="23" t="n"/>
      <c r="E6" s="24" t="n"/>
      <c r="F6" s="4" t="n"/>
      <c r="G6" s="4" t="n"/>
      <c r="H6" s="4" t="n"/>
      <c r="I6" s="4" t="n"/>
      <c r="J6" s="4" t="n"/>
      <c r="K6" s="4" t="n"/>
      <c r="L6" s="4" t="n"/>
      <c r="M6" s="4" t="n"/>
      <c r="N6" s="4" t="n"/>
      <c r="O6" s="4" t="n"/>
      <c r="P6" s="4" t="n"/>
      <c r="Q6" s="4" t="n"/>
      <c r="R6" s="4" t="n"/>
      <c r="S6" s="4" t="n"/>
      <c r="T6" s="4" t="n"/>
      <c r="U6" s="4" t="n"/>
      <c r="V6" s="4" t="n"/>
      <c r="W6" s="4" t="n"/>
      <c r="X6" s="4" t="n"/>
      <c r="Y6" s="4" t="n"/>
      <c r="Z6" s="4" t="n"/>
    </row>
    <row r="7" ht="23.25" customHeight="1" s="22">
      <c r="A7" s="9" t="inlineStr">
        <is>
          <t>Entrega funcional</t>
        </is>
      </c>
      <c r="B7" s="12" t="inlineStr">
        <is>
          <t>Entrega 2</t>
        </is>
      </c>
      <c r="C7" s="23" t="n"/>
      <c r="D7" s="23" t="n"/>
      <c r="E7" s="24" t="n"/>
      <c r="F7" s="4" t="n"/>
      <c r="G7" s="4" t="n"/>
      <c r="H7" s="4" t="n"/>
      <c r="I7" s="4" t="n"/>
      <c r="J7" s="4" t="n"/>
      <c r="K7" s="4" t="n"/>
      <c r="L7" s="4" t="n"/>
      <c r="M7" s="4" t="n"/>
      <c r="N7" s="4" t="n"/>
      <c r="O7" s="4" t="n"/>
      <c r="P7" s="4" t="n"/>
      <c r="Q7" s="4" t="n"/>
      <c r="R7" s="4" t="n"/>
      <c r="S7" s="4" t="n"/>
      <c r="T7" s="4" t="n"/>
      <c r="U7" s="4" t="n"/>
      <c r="V7" s="4" t="n"/>
      <c r="W7" s="4" t="n"/>
      <c r="X7" s="4" t="n"/>
      <c r="Y7" s="4" t="n"/>
      <c r="Z7" s="4" t="n"/>
    </row>
    <row r="8" ht="15" customHeight="1" s="22">
      <c r="A8" s="9" t="inlineStr">
        <is>
          <t>Estado</t>
        </is>
      </c>
      <c r="B8" s="12" t="inlineStr">
        <is>
          <t>Cerrada</t>
        </is>
      </c>
      <c r="C8" s="23" t="n"/>
      <c r="D8" s="23" t="n"/>
      <c r="E8" s="24" t="n"/>
      <c r="F8" s="4" t="n"/>
      <c r="G8" s="4" t="n"/>
      <c r="H8" s="4" t="n"/>
      <c r="I8" s="4" t="n"/>
      <c r="J8" s="4" t="n"/>
      <c r="K8" s="4" t="n"/>
      <c r="L8" s="4" t="n"/>
      <c r="M8" s="4" t="n"/>
      <c r="N8" s="4" t="n"/>
      <c r="O8" s="4" t="n"/>
      <c r="P8" s="4" t="n"/>
      <c r="Q8" s="4" t="n"/>
      <c r="R8" s="4" t="n"/>
      <c r="S8" s="4" t="n"/>
      <c r="T8" s="4" t="n"/>
      <c r="U8" s="4" t="n"/>
      <c r="V8" s="4" t="n"/>
      <c r="W8" s="4" t="n"/>
      <c r="X8" s="4" t="n"/>
      <c r="Y8" s="4" t="n"/>
      <c r="Z8" s="4" t="n"/>
    </row>
    <row r="9" ht="30" customHeight="1" s="22">
      <c r="A9" s="9" t="inlineStr">
        <is>
          <t>Objetivo</t>
        </is>
      </c>
      <c r="B9" s="12" t="inlineStr">
        <is>
          <t>Permitir que el estudiante conozca la habilidad evaluada por una pregunta, su nivel de dominio, sus prerrequisitos y los recursos de estudio, y corregir los hallazgos de la aceptación de la iteración 5.</t>
        </is>
      </c>
      <c r="C9" s="23" t="n"/>
      <c r="D9" s="23" t="n"/>
      <c r="E9" s="24" t="n"/>
      <c r="F9" s="4" t="n"/>
      <c r="G9" s="4" t="n"/>
      <c r="H9" s="4" t="n"/>
      <c r="I9" s="4" t="n"/>
      <c r="J9" s="4" t="n"/>
      <c r="K9" s="4" t="n"/>
      <c r="L9" s="4" t="n"/>
      <c r="M9" s="4" t="n"/>
      <c r="N9" s="4" t="n"/>
      <c r="O9" s="4" t="n"/>
      <c r="P9" s="4" t="n"/>
      <c r="Q9" s="4" t="n"/>
      <c r="R9" s="4" t="n"/>
      <c r="S9" s="4" t="n"/>
      <c r="T9" s="4" t="n"/>
      <c r="U9" s="4" t="n"/>
      <c r="V9" s="4" t="n"/>
      <c r="W9" s="4" t="n"/>
      <c r="X9" s="4" t="n"/>
      <c r="Y9" s="4" t="n"/>
      <c r="Z9" s="4" t="n"/>
    </row>
    <row r="10">
      <c r="A10" s="1" t="n"/>
      <c r="B10" s="1" t="n"/>
      <c r="C10" s="1" t="n"/>
      <c r="D10" s="1" t="n"/>
      <c r="E10" s="1" t="n"/>
      <c r="F10" s="4" t="n"/>
      <c r="G10" s="4" t="n"/>
      <c r="H10" s="4" t="n"/>
      <c r="I10" s="4" t="n"/>
      <c r="J10" s="4" t="n"/>
      <c r="K10" s="4" t="n"/>
      <c r="L10" s="4" t="n"/>
      <c r="M10" s="4" t="n"/>
      <c r="N10" s="4" t="n"/>
      <c r="O10" s="4" t="n"/>
      <c r="P10" s="4" t="n"/>
      <c r="Q10" s="4" t="n"/>
      <c r="R10" s="4" t="n"/>
      <c r="S10" s="4" t="n"/>
      <c r="T10" s="4" t="n"/>
      <c r="U10" s="4" t="n"/>
      <c r="V10" s="4" t="n"/>
      <c r="W10" s="4" t="n"/>
      <c r="X10" s="4" t="n"/>
      <c r="Y10" s="4" t="n"/>
      <c r="Z10" s="4" t="n"/>
    </row>
    <row r="11" ht="15" customHeight="1" s="22">
      <c r="A11" s="16" t="inlineStr">
        <is>
          <t>Historias comprometidas</t>
        </is>
      </c>
      <c r="B11" s="1" t="n"/>
      <c r="C11" s="1" t="n"/>
      <c r="D11" s="1" t="n"/>
      <c r="E11" s="1" t="n"/>
      <c r="F11" s="4" t="n"/>
      <c r="G11" s="4" t="n"/>
      <c r="H11" s="4" t="n"/>
      <c r="I11" s="4" t="n"/>
      <c r="J11" s="4" t="n"/>
      <c r="K11" s="4" t="n"/>
      <c r="L11" s="4" t="n"/>
      <c r="M11" s="4" t="n"/>
      <c r="N11" s="4" t="n"/>
      <c r="O11" s="4" t="n"/>
      <c r="P11" s="4" t="n"/>
      <c r="Q11" s="4" t="n"/>
      <c r="R11" s="4" t="n"/>
      <c r="S11" s="4" t="n"/>
      <c r="T11" s="4" t="n"/>
      <c r="U11" s="4" t="n"/>
      <c r="V11" s="4" t="n"/>
      <c r="W11" s="4" t="n"/>
      <c r="X11" s="4" t="n"/>
      <c r="Y11" s="4" t="n"/>
      <c r="Z11" s="4" t="n"/>
    </row>
    <row r="12" ht="15" customHeight="1" s="22">
      <c r="A12" s="8" t="inlineStr">
        <is>
          <t>ID</t>
        </is>
      </c>
      <c r="B12" s="8" t="inlineStr">
        <is>
          <t>Historia</t>
        </is>
      </c>
      <c r="C12" s="8" t="inlineStr">
        <is>
          <t>Puntos</t>
        </is>
      </c>
      <c r="D12" s="8" t="inlineStr">
        <is>
          <t>Responsable</t>
        </is>
      </c>
      <c r="E12" s="8" t="inlineStr">
        <is>
          <t>Estado</t>
        </is>
      </c>
      <c r="F12" s="4" t="n"/>
      <c r="G12" s="4" t="n"/>
      <c r="H12" s="4" t="n"/>
      <c r="I12" s="4" t="n"/>
      <c r="J12" s="4" t="n"/>
      <c r="K12" s="4" t="n"/>
      <c r="L12" s="4" t="n"/>
      <c r="M12" s="4" t="n"/>
      <c r="N12" s="4" t="n"/>
      <c r="O12" s="4" t="n"/>
      <c r="P12" s="4" t="n"/>
      <c r="Q12" s="4" t="n"/>
      <c r="R12" s="4" t="n"/>
      <c r="S12" s="4" t="n"/>
      <c r="T12" s="4" t="n"/>
      <c r="U12" s="4" t="n"/>
      <c r="V12" s="4" t="n"/>
      <c r="W12" s="4" t="n"/>
      <c r="X12" s="4" t="n"/>
      <c r="Y12" s="4" t="n"/>
      <c r="Z12" s="4" t="n"/>
    </row>
    <row r="13" ht="15" customHeight="1" s="22">
      <c r="A13" s="15" t="inlineStr">
        <is>
          <t>HU-06</t>
        </is>
      </c>
      <c r="B13" s="12" t="inlineStr">
        <is>
          <t>Habilidad evaluada</t>
        </is>
      </c>
      <c r="C13" s="15" t="n">
        <v>5</v>
      </c>
      <c r="D13" s="12" t="inlineStr">
        <is>
          <t>Jeremías / Sebastián</t>
        </is>
      </c>
      <c r="E13" s="15" t="inlineStr">
        <is>
          <t>Hecho</t>
        </is>
      </c>
      <c r="F13" s="4" t="n"/>
      <c r="G13" s="4" t="n"/>
      <c r="H13" s="4" t="n"/>
      <c r="I13" s="4" t="n"/>
      <c r="J13" s="4" t="n"/>
      <c r="K13" s="4" t="n"/>
      <c r="L13" s="4" t="n"/>
      <c r="M13" s="4" t="n"/>
      <c r="N13" s="4" t="n"/>
      <c r="O13" s="4" t="n"/>
      <c r="P13" s="4" t="n"/>
      <c r="Q13" s="4" t="n"/>
      <c r="R13" s="4" t="n"/>
      <c r="S13" s="4" t="n"/>
      <c r="T13" s="4" t="n"/>
      <c r="U13" s="4" t="n"/>
      <c r="V13" s="4" t="n"/>
      <c r="W13" s="4" t="n"/>
      <c r="X13" s="4" t="n"/>
      <c r="Y13" s="4" t="n"/>
      <c r="Z13" s="4" t="n"/>
    </row>
    <row r="14" ht="15" customHeight="1" s="22">
      <c r="A14" s="1" t="n"/>
      <c r="B14" s="18" t="inlineStr">
        <is>
          <t>Puntos comprometidos</t>
        </is>
      </c>
      <c r="C14" s="21">
        <f>SUMPRODUCT(C13*ISERROR(SEARCH("no planificada",B13)))</f>
        <v/>
      </c>
      <c r="D14" s="1" t="n"/>
      <c r="E14" s="1" t="n"/>
      <c r="F14" s="4" t="n"/>
      <c r="G14" s="4" t="n"/>
      <c r="H14" s="4" t="n"/>
      <c r="I14" s="4" t="n"/>
      <c r="J14" s="4" t="n"/>
      <c r="K14" s="4" t="n"/>
      <c r="L14" s="4" t="n"/>
      <c r="M14" s="4" t="n"/>
      <c r="N14" s="4" t="n"/>
      <c r="O14" s="4" t="n"/>
      <c r="P14" s="4" t="n"/>
      <c r="Q14" s="4" t="n"/>
      <c r="R14" s="4" t="n"/>
      <c r="S14" s="4" t="n"/>
      <c r="T14" s="4" t="n"/>
      <c r="U14" s="4" t="n"/>
      <c r="V14" s="4" t="n"/>
      <c r="W14" s="4" t="n"/>
      <c r="X14" s="4" t="n"/>
      <c r="Y14" s="4" t="n"/>
      <c r="Z14" s="4" t="n"/>
    </row>
    <row r="15" ht="15" customHeight="1" s="22">
      <c r="A15" s="1" t="n"/>
      <c r="B15" s="18" t="inlineStr">
        <is>
          <t>Puntos terminados (velocidad, incluye lo no planificado)</t>
        </is>
      </c>
      <c r="C15" s="21">
        <f>SUMIF(E13,"Hecho",C13)</f>
        <v/>
      </c>
      <c r="D15" s="1" t="n"/>
      <c r="E15" s="1" t="n"/>
      <c r="F15" s="4" t="n"/>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1" t="n"/>
      <c r="B16" s="1" t="n"/>
      <c r="C16" s="1" t="n"/>
      <c r="D16" s="1" t="n"/>
      <c r="E16" s="1" t="n"/>
      <c r="F16" s="4" t="n"/>
      <c r="G16" s="4" t="n"/>
      <c r="H16" s="4" t="n"/>
      <c r="I16" s="4" t="n"/>
      <c r="J16" s="4" t="n"/>
      <c r="K16" s="4" t="n"/>
      <c r="L16" s="4" t="n"/>
      <c r="M16" s="4" t="n"/>
      <c r="N16" s="4" t="n"/>
      <c r="O16" s="4" t="n"/>
      <c r="P16" s="4" t="n"/>
      <c r="Q16" s="4" t="n"/>
      <c r="R16" s="4" t="n"/>
      <c r="S16" s="4" t="n"/>
      <c r="T16" s="4" t="n"/>
      <c r="U16" s="4" t="n"/>
      <c r="V16" s="4" t="n"/>
      <c r="W16" s="4" t="n"/>
      <c r="X16" s="4" t="n"/>
      <c r="Y16" s="4" t="n"/>
      <c r="Z16" s="4" t="n"/>
    </row>
    <row r="17" ht="15" customHeight="1" s="22">
      <c r="A17" s="16" t="inlineStr">
        <is>
          <t>Tareas</t>
        </is>
      </c>
      <c r="B17" s="1" t="n"/>
      <c r="C17" s="1" t="n"/>
      <c r="D17" s="1" t="n"/>
      <c r="E17" s="1" t="n"/>
      <c r="F17" s="4" t="n"/>
      <c r="G17" s="4" t="n"/>
      <c r="H17" s="4" t="n"/>
      <c r="I17" s="4" t="n"/>
      <c r="J17" s="4" t="n"/>
      <c r="K17" s="4" t="n"/>
      <c r="L17" s="4" t="n"/>
      <c r="M17" s="4" t="n"/>
      <c r="N17" s="4" t="n"/>
      <c r="O17" s="4" t="n"/>
      <c r="P17" s="4" t="n"/>
      <c r="Q17" s="4" t="n"/>
      <c r="R17" s="4" t="n"/>
      <c r="S17" s="4" t="n"/>
      <c r="T17" s="4" t="n"/>
      <c r="U17" s="4" t="n"/>
      <c r="V17" s="4" t="n"/>
      <c r="W17" s="4" t="n"/>
      <c r="X17" s="4" t="n"/>
      <c r="Y17" s="4" t="n"/>
      <c r="Z17" s="4" t="n"/>
    </row>
    <row r="18" ht="15" customHeight="1" s="22">
      <c r="A18" s="8" t="inlineStr">
        <is>
          <t>ID</t>
        </is>
      </c>
      <c r="B18" s="8" t="inlineStr">
        <is>
          <t>Tarea</t>
        </is>
      </c>
      <c r="C18" s="8" t="inlineStr">
        <is>
          <t>Historia</t>
        </is>
      </c>
      <c r="D18" s="8" t="inlineStr">
        <is>
          <t>Responsable</t>
        </is>
      </c>
      <c r="E18" s="8" t="inlineStr">
        <is>
          <t>Estado</t>
        </is>
      </c>
      <c r="F18" s="4" t="n"/>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22">
      <c r="A19" s="15" t="inlineStr">
        <is>
          <t>T-46</t>
        </is>
      </c>
      <c r="B19" s="12" t="inlineStr">
        <is>
          <t>Servicio GET /questions/{id}/skill con la habilidad, el dominio del alumno, los prerrequisitos y los recursos</t>
        </is>
      </c>
      <c r="C19" s="15" t="inlineStr">
        <is>
          <t>HU-06</t>
        </is>
      </c>
      <c r="D19" s="12" t="inlineStr">
        <is>
          <t>Jeremías Fernández</t>
        </is>
      </c>
      <c r="E19" s="15" t="inlineStr">
        <is>
          <t>Hecho</t>
        </is>
      </c>
      <c r="F19" s="4" t="n"/>
      <c r="G19" s="4" t="n"/>
      <c r="H19" s="4" t="n"/>
      <c r="I19" s="4" t="n"/>
      <c r="J19" s="4" t="n"/>
      <c r="K19" s="4" t="n"/>
      <c r="L19" s="4" t="n"/>
      <c r="M19" s="4" t="n"/>
      <c r="N19" s="4" t="n"/>
      <c r="O19" s="4" t="n"/>
      <c r="P19" s="4" t="n"/>
      <c r="Q19" s="4" t="n"/>
      <c r="R19" s="4" t="n"/>
      <c r="S19" s="4" t="n"/>
      <c r="T19" s="4" t="n"/>
      <c r="U19" s="4" t="n"/>
      <c r="V19" s="4" t="n"/>
      <c r="W19" s="4" t="n"/>
      <c r="X19" s="4" t="n"/>
      <c r="Y19" s="4" t="n"/>
      <c r="Z19" s="4" t="n"/>
    </row>
    <row r="20" ht="30" customHeight="1" s="22">
      <c r="A20" s="15" t="inlineStr">
        <is>
          <t>T-47</t>
        </is>
      </c>
      <c r="B20" s="12" t="inlineStr">
        <is>
          <t>Construir la pantalla Habilidad evaluada integrada con el servicio</t>
        </is>
      </c>
      <c r="C20" s="15" t="inlineStr">
        <is>
          <t>HU-06</t>
        </is>
      </c>
      <c r="D20" s="12" t="inlineStr">
        <is>
          <t>Sebastián Acevedo</t>
        </is>
      </c>
      <c r="E20" s="15" t="inlineStr">
        <is>
          <t>Hecho</t>
        </is>
      </c>
      <c r="F20" s="4" t="n"/>
      <c r="G20" s="4" t="n"/>
      <c r="H20" s="4" t="n"/>
      <c r="I20" s="4" t="n"/>
      <c r="J20" s="4" t="n"/>
      <c r="K20" s="4" t="n"/>
      <c r="L20" s="4" t="n"/>
      <c r="M20" s="4" t="n"/>
      <c r="N20" s="4" t="n"/>
      <c r="O20" s="4" t="n"/>
      <c r="P20" s="4" t="n"/>
      <c r="Q20" s="4" t="n"/>
      <c r="R20" s="4" t="n"/>
      <c r="S20" s="4" t="n"/>
      <c r="T20" s="4" t="n"/>
      <c r="U20" s="4" t="n"/>
      <c r="V20" s="4" t="n"/>
      <c r="W20" s="4" t="n"/>
      <c r="X20" s="4" t="n"/>
      <c r="Y20" s="4" t="n"/>
      <c r="Z20" s="4" t="n"/>
    </row>
    <row r="21" ht="30" customHeight="1" s="22">
      <c r="A21" s="15" t="inlineStr">
        <is>
          <t>T-42</t>
        </is>
      </c>
      <c r="B21" s="12" t="inlineStr">
        <is>
          <t>Corregir el contenido de tres preguntas del banco de demostración (H-12 a H-14)</t>
        </is>
      </c>
      <c r="C21" s="15" t="inlineStr">
        <is>
          <t>HU-20</t>
        </is>
      </c>
      <c r="D21" s="12" t="inlineStr">
        <is>
          <t>Jeremías Fernández</t>
        </is>
      </c>
      <c r="E21" s="15" t="inlineStr">
        <is>
          <t>Hecho</t>
        </is>
      </c>
      <c r="F21" s="4" t="n"/>
      <c r="G21" s="4" t="n"/>
      <c r="H21" s="4" t="n"/>
      <c r="I21" s="4" t="n"/>
      <c r="J21" s="4" t="n"/>
      <c r="K21" s="4" t="n"/>
      <c r="L21" s="4" t="n"/>
      <c r="M21" s="4" t="n"/>
      <c r="N21" s="4" t="n"/>
      <c r="O21" s="4" t="n"/>
      <c r="P21" s="4" t="n"/>
      <c r="Q21" s="4" t="n"/>
      <c r="R21" s="4" t="n"/>
      <c r="S21" s="4" t="n"/>
      <c r="T21" s="4" t="n"/>
      <c r="U21" s="4" t="n"/>
      <c r="V21" s="4" t="n"/>
      <c r="W21" s="4" t="n"/>
      <c r="X21" s="4" t="n"/>
      <c r="Y21" s="4" t="n"/>
      <c r="Z21" s="4" t="n"/>
    </row>
    <row r="22" ht="46" customHeight="1" s="22">
      <c r="A22" s="15" t="inlineStr">
        <is>
          <t>T-43</t>
        </is>
      </c>
      <c r="B22" s="12" t="inlineStr">
        <is>
          <t>Conservar la pantalla Resultado al recargar y al volver desde la explicación (H-15, H-16)</t>
        </is>
      </c>
      <c r="C22" s="15" t="inlineStr">
        <is>
          <t>HU-04</t>
        </is>
      </c>
      <c r="D22" s="12" t="inlineStr">
        <is>
          <t>Sebastián Acevedo</t>
        </is>
      </c>
      <c r="E22" s="15" t="inlineStr">
        <is>
          <t>No aceptada · pasa a la iteración 7</t>
        </is>
      </c>
      <c r="F22" s="4" t="n"/>
      <c r="G22" s="4" t="n"/>
      <c r="H22" s="4" t="n"/>
      <c r="I22" s="4" t="n"/>
      <c r="J22" s="4" t="n"/>
      <c r="K22" s="4" t="n"/>
      <c r="L22" s="4" t="n"/>
      <c r="M22" s="4" t="n"/>
      <c r="N22" s="4" t="n"/>
      <c r="O22" s="4" t="n"/>
      <c r="P22" s="4" t="n"/>
      <c r="Q22" s="4" t="n"/>
      <c r="R22" s="4" t="n"/>
      <c r="S22" s="4" t="n"/>
      <c r="T22" s="4" t="n"/>
      <c r="U22" s="4" t="n"/>
      <c r="V22" s="4" t="n"/>
      <c r="W22" s="4" t="n"/>
      <c r="X22" s="4" t="n"/>
      <c r="Y22" s="4" t="n"/>
      <c r="Z22" s="4" t="n"/>
    </row>
    <row r="23" ht="30" customHeight="1" s="22">
      <c r="A23" s="15" t="inlineStr">
        <is>
          <t>T-44</t>
        </is>
      </c>
      <c r="B23" s="12" t="inlineStr">
        <is>
          <t>Volver a marcar el formato guardado cuando la API rechaza el cambio (H-18)</t>
        </is>
      </c>
      <c r="C23" s="15" t="inlineStr">
        <is>
          <t>HU-12</t>
        </is>
      </c>
      <c r="D23" s="12" t="inlineStr">
        <is>
          <t>Sebastián Acevedo</t>
        </is>
      </c>
      <c r="E23" s="15" t="inlineStr">
        <is>
          <t>Hecho</t>
        </is>
      </c>
      <c r="F23" s="4" t="n"/>
      <c r="G23" s="4" t="n"/>
      <c r="H23" s="4" t="n"/>
      <c r="I23" s="4" t="n"/>
      <c r="J23" s="4" t="n"/>
      <c r="K23" s="4" t="n"/>
      <c r="L23" s="4" t="n"/>
      <c r="M23" s="4" t="n"/>
      <c r="N23" s="4" t="n"/>
      <c r="O23" s="4" t="n"/>
      <c r="P23" s="4" t="n"/>
      <c r="Q23" s="4" t="n"/>
      <c r="R23" s="4" t="n"/>
      <c r="S23" s="4" t="n"/>
      <c r="T23" s="4" t="n"/>
      <c r="U23" s="4" t="n"/>
      <c r="V23" s="4" t="n"/>
      <c r="W23" s="4" t="n"/>
      <c r="X23" s="4" t="n"/>
      <c r="Y23" s="4" t="n"/>
      <c r="Z23" s="4" t="n"/>
    </row>
    <row r="24" ht="30" customHeight="1" s="22">
      <c r="A24" s="15" t="inlineStr">
        <is>
          <t>T-45</t>
        </is>
      </c>
      <c r="B24" s="12" t="inlineStr">
        <is>
          <t>Mostrar "Disponible próximamente" en la habilidad y la recorrección mientras no existan sus servicios (H-19)</t>
        </is>
      </c>
      <c r="C24" s="15" t="inlineStr">
        <is>
          <t>HU-05</t>
        </is>
      </c>
      <c r="D24" s="12" t="inlineStr">
        <is>
          <t>Sebastián Acevedo</t>
        </is>
      </c>
      <c r="E24" s="15" t="inlineStr">
        <is>
          <t>Hecho</t>
        </is>
      </c>
      <c r="F24" s="4" t="n"/>
      <c r="G24" s="4" t="n"/>
      <c r="H24" s="4" t="n"/>
      <c r="I24" s="4" t="n"/>
      <c r="J24" s="4" t="n"/>
      <c r="K24" s="4" t="n"/>
      <c r="L24" s="4" t="n"/>
      <c r="M24" s="4" t="n"/>
      <c r="N24" s="4" t="n"/>
      <c r="O24" s="4" t="n"/>
      <c r="P24" s="4" t="n"/>
      <c r="Q24" s="4" t="n"/>
      <c r="R24" s="4" t="n"/>
      <c r="S24" s="4" t="n"/>
      <c r="T24" s="4" t="n"/>
      <c r="U24" s="4" t="n"/>
      <c r="V24" s="4" t="n"/>
      <c r="W24" s="4" t="n"/>
      <c r="X24" s="4" t="n"/>
      <c r="Y24" s="4" t="n"/>
      <c r="Z24" s="4" t="n"/>
    </row>
    <row r="25" ht="30" customHeight="1" s="22">
      <c r="A25" s="15" t="inlineStr">
        <is>
          <t>T-49</t>
        </is>
      </c>
      <c r="B25" s="12" t="inlineStr">
        <is>
          <t>Renovar la hora de entrega de una pregunta pendiente de un día anterior y limitar a cinco minutos el tiempo registrado (H-22)</t>
        </is>
      </c>
      <c r="C25" s="15" t="inlineStr">
        <is>
          <t>HU-03</t>
        </is>
      </c>
      <c r="D25" s="12" t="inlineStr">
        <is>
          <t>Jeremías Fernández</t>
        </is>
      </c>
      <c r="E25" s="15" t="inlineStr">
        <is>
          <t>Hecho</t>
        </is>
      </c>
      <c r="F25" s="4" t="n"/>
      <c r="G25" s="4" t="n"/>
      <c r="H25" s="4" t="n"/>
      <c r="I25" s="4" t="n"/>
      <c r="J25" s="4" t="n"/>
      <c r="K25" s="4" t="n"/>
      <c r="L25" s="4" t="n"/>
      <c r="M25" s="4" t="n"/>
      <c r="N25" s="4" t="n"/>
      <c r="O25" s="4" t="n"/>
      <c r="P25" s="4" t="n"/>
      <c r="Q25" s="4" t="n"/>
      <c r="R25" s="4" t="n"/>
      <c r="S25" s="4" t="n"/>
      <c r="T25" s="4" t="n"/>
      <c r="U25" s="4" t="n"/>
      <c r="V25" s="4" t="n"/>
      <c r="W25" s="4" t="n"/>
      <c r="X25" s="4" t="n"/>
      <c r="Y25" s="4" t="n"/>
      <c r="Z25" s="4" t="n"/>
    </row>
    <row r="26" ht="30" customHeight="1" s="22">
      <c r="A26" s="15" t="inlineStr">
        <is>
          <t>T-50</t>
        </is>
      </c>
      <c r="B26" s="12" t="inlineStr">
        <is>
          <t>Elegir la prueba de la pregunta nueva con testId en GET /practice/next y en el selector de materia de la aplicación, a pedido de la contraparte</t>
        </is>
      </c>
      <c r="C26" s="15" t="inlineStr">
        <is>
          <t>HU-01</t>
        </is>
      </c>
      <c r="D26" s="12" t="inlineStr">
        <is>
          <t>Jeremías / Sebastián</t>
        </is>
      </c>
      <c r="E26" s="15" t="inlineStr">
        <is>
          <t>Hecho</t>
        </is>
      </c>
      <c r="F26" s="4" t="n"/>
      <c r="G26" s="4" t="n"/>
      <c r="H26" s="4" t="n"/>
      <c r="I26" s="4" t="n"/>
      <c r="J26" s="4" t="n"/>
      <c r="K26" s="4" t="n"/>
      <c r="L26" s="4" t="n"/>
      <c r="M26" s="4" t="n"/>
      <c r="N26" s="4" t="n"/>
      <c r="O26" s="4" t="n"/>
      <c r="P26" s="4" t="n"/>
      <c r="Q26" s="4" t="n"/>
      <c r="R26" s="4" t="n"/>
      <c r="S26" s="4" t="n"/>
      <c r="T26" s="4" t="n"/>
      <c r="U26" s="4" t="n"/>
      <c r="V26" s="4" t="n"/>
      <c r="W26" s="4" t="n"/>
      <c r="X26" s="4" t="n"/>
      <c r="Y26" s="4" t="n"/>
      <c r="Z26" s="4" t="n"/>
    </row>
    <row r="27" ht="30" customHeight="1" s="22">
      <c r="A27" s="15" t="inlineStr">
        <is>
          <t>T-51</t>
        </is>
      </c>
      <c r="B27" s="12" t="inlineStr">
        <is>
          <t>Alinear con el contrato de la API el estado de la respuesta, los identificadores de habilidades y los errores 405 y 413</t>
        </is>
      </c>
      <c r="C27" s="15" t="inlineStr">
        <is>
          <t>RT-01</t>
        </is>
      </c>
      <c r="D27" s="12" t="inlineStr">
        <is>
          <t>Jeremías Fernández</t>
        </is>
      </c>
      <c r="E27" s="15" t="inlineStr">
        <is>
          <t>Hecho</t>
        </is>
      </c>
      <c r="F27" s="4" t="n"/>
      <c r="G27" s="4" t="n"/>
      <c r="H27" s="4" t="n"/>
      <c r="I27" s="4" t="n"/>
      <c r="J27" s="4" t="n"/>
      <c r="K27" s="4" t="n"/>
      <c r="L27" s="4" t="n"/>
      <c r="M27" s="4" t="n"/>
      <c r="N27" s="4" t="n"/>
      <c r="O27" s="4" t="n"/>
      <c r="P27" s="4" t="n"/>
      <c r="Q27" s="4" t="n"/>
      <c r="R27" s="4" t="n"/>
      <c r="S27" s="4" t="n"/>
      <c r="T27" s="4" t="n"/>
      <c r="U27" s="4" t="n"/>
      <c r="V27" s="4" t="n"/>
      <c r="W27" s="4" t="n"/>
      <c r="X27" s="4" t="n"/>
      <c r="Y27" s="4" t="n"/>
      <c r="Z27" s="4" t="n"/>
    </row>
    <row r="28" ht="30" customHeight="1" s="22">
      <c r="A28" s="15" t="inlineStr">
        <is>
          <t>T-53</t>
        </is>
      </c>
      <c r="B28" s="12" t="inlineStr">
        <is>
          <t>Aislar por sesión las operaciones de práctica y revalidar la pendiente sin testId (P1 y P2 de la revisión del PR #54)</t>
        </is>
      </c>
      <c r="C28" s="15" t="inlineStr">
        <is>
          <t>HU-03</t>
        </is>
      </c>
      <c r="D28" s="12" t="inlineStr">
        <is>
          <t>Sebastián Acevedo</t>
        </is>
      </c>
      <c r="E28" s="15" t="inlineStr">
        <is>
          <t>Hecho</t>
        </is>
      </c>
    </row>
    <row r="29" ht="30" customHeight="1" s="22">
      <c r="A29" s="15" t="inlineStr">
        <is>
          <t>T-54</t>
        </is>
      </c>
      <c r="B29" s="12" t="inlineStr">
        <is>
          <t>Retirar el campo Edad del formulario de desbloqueo (H-10)</t>
        </is>
      </c>
      <c r="C29" s="15" t="inlineStr">
        <is>
          <t>HU-08</t>
        </is>
      </c>
      <c r="D29" s="12" t="inlineStr">
        <is>
          <t>Sebastián Acevedo</t>
        </is>
      </c>
      <c r="E29" s="15" t="inlineStr">
        <is>
          <t>Hecho</t>
        </is>
      </c>
    </row>
    <row r="30" ht="30" customHeight="1" s="22">
      <c r="A30" s="15" t="inlineStr">
        <is>
          <t>T-55</t>
        </is>
      </c>
      <c r="B30" s="12" t="inlineStr">
        <is>
          <t>Agregar el botón de inicio en las pantallas del módulo</t>
        </is>
      </c>
      <c r="C30" s="15" t="inlineStr">
        <is>
          <t>HU-02</t>
        </is>
      </c>
      <c r="D30" s="12" t="inlineStr">
        <is>
          <t>Sebastián Acevedo</t>
        </is>
      </c>
      <c r="E30" s="15" t="inlineStr">
        <is>
          <t>Hecho</t>
        </is>
      </c>
    </row>
    <row r="31" ht="30" customHeight="1" s="22">
      <c r="A31" s="15" t="inlineStr">
        <is>
          <t>T-48</t>
        </is>
      </c>
      <c r="B31" s="12" t="inlineStr">
        <is>
          <t>Pruebas de aceptación de la iteración: criterios de HU-06, tareas de hallazgos, revisión manual de los enlaces de recursos y regresión del ciclo de práctica</t>
        </is>
      </c>
      <c r="C31" s="15" t="inlineStr">
        <is>
          <t>HU-06</t>
        </is>
      </c>
      <c r="D31" s="12" t="inlineStr">
        <is>
          <t>Martin Espinoza</t>
        </is>
      </c>
      <c r="E31" s="15" t="inlineStr">
        <is>
          <t>Hecho</t>
        </is>
      </c>
      <c r="F31" s="4" t="n"/>
      <c r="G31" s="4" t="n"/>
      <c r="H31" s="4" t="n"/>
      <c r="I31" s="4" t="n"/>
      <c r="J31" s="4" t="n"/>
      <c r="K31" s="4" t="n"/>
      <c r="L31" s="4" t="n"/>
      <c r="M31" s="4" t="n"/>
      <c r="N31" s="4" t="n"/>
      <c r="O31" s="4" t="n"/>
      <c r="P31" s="4" t="n"/>
      <c r="Q31" s="4" t="n"/>
      <c r="R31" s="4" t="n"/>
      <c r="S31" s="4" t="n"/>
      <c r="T31" s="4" t="n"/>
      <c r="U31" s="4" t="n"/>
      <c r="V31" s="4" t="n"/>
      <c r="W31" s="4" t="n"/>
      <c r="X31" s="4" t="n"/>
      <c r="Y31" s="4" t="n"/>
      <c r="Z31" s="4" t="n"/>
    </row>
    <row r="32" ht="15" customHeight="1" s="22">
      <c r="A32" s="1" t="n"/>
      <c r="B32" s="1" t="n"/>
      <c r="C32" s="1" t="n"/>
      <c r="D32" s="1" t="n"/>
      <c r="E32" s="1" t="n"/>
      <c r="F32" s="4" t="n"/>
      <c r="G32" s="4" t="n"/>
      <c r="H32" s="4" t="n"/>
      <c r="I32" s="4" t="n"/>
      <c r="J32" s="4" t="n"/>
      <c r="K32" s="4" t="n"/>
      <c r="L32" s="4" t="n"/>
      <c r="M32" s="4" t="n"/>
      <c r="N32" s="4" t="n"/>
      <c r="O32" s="4" t="n"/>
      <c r="P32" s="4" t="n"/>
      <c r="Q32" s="4" t="n"/>
      <c r="R32" s="4" t="n"/>
      <c r="S32" s="4" t="n"/>
      <c r="T32" s="4" t="n"/>
      <c r="U32" s="4" t="n"/>
      <c r="V32" s="4" t="n"/>
      <c r="W32" s="4" t="n"/>
      <c r="X32" s="4" t="n"/>
      <c r="Y32" s="4" t="n"/>
      <c r="Z32" s="4" t="n"/>
    </row>
    <row r="33" ht="15" customHeight="1" s="22">
      <c r="A33" s="16" t="inlineStr">
        <is>
          <t>Cierre de la iteración</t>
        </is>
      </c>
      <c r="B33" s="1" t="n"/>
      <c r="C33" s="1" t="n"/>
      <c r="D33" s="1" t="n"/>
      <c r="E33" s="1" t="n"/>
      <c r="F33" s="4" t="n"/>
      <c r="G33" s="4" t="n"/>
      <c r="H33" s="4" t="n"/>
      <c r="I33" s="4" t="n"/>
      <c r="J33" s="4" t="n"/>
      <c r="K33" s="4" t="n"/>
      <c r="L33" s="4" t="n"/>
      <c r="M33" s="4" t="n"/>
      <c r="N33" s="4" t="n"/>
      <c r="O33" s="4" t="n"/>
      <c r="P33" s="4" t="n"/>
      <c r="Q33" s="4" t="n"/>
      <c r="R33" s="4" t="n"/>
      <c r="S33" s="4" t="n"/>
      <c r="T33" s="4" t="n"/>
      <c r="U33" s="4" t="n"/>
      <c r="V33" s="4" t="n"/>
      <c r="W33" s="4" t="n"/>
      <c r="X33" s="4" t="n"/>
      <c r="Y33" s="4" t="n"/>
      <c r="Z33" s="4" t="n"/>
    </row>
    <row r="34" ht="95" customHeight="1" s="22">
      <c r="A34" s="9" t="inlineStr">
        <is>
          <t>Resultado</t>
        </is>
      </c>
      <c r="B34" s="12" t="inlineStr">
        <is>
          <t>Se completó en producción la pantalla Habilidad evaluada, con la habilidad, el nivel y el porcentaje de dominio, la ruta de aprendizaje con los prerrequisitos y los recursos, junto con su servicio GET /questions/{id}/skill. Se corrigieron los hallazgos H-10, H-16, H-18, H-19 y H-22 y el contenido del banco de demostración (H-12 a H-14), y el módulo se alineó con el contrato de la API: estado 201, prefijo skl_ y errores 405 y 413. La revisión de código del PR #54 detectó antes de producción una fuga de la solución entre sesiones (P1) y una pendiente descartada (P2), que se corrigieron con regresiones automatizadas. La aceptación T-48 del 18/10/2026 aprobó 21 de 26 pasos, con una falla: la recarga en Resultado no recupera el resultado (H-25), por lo que T-43 pasa a la iteración 7.</t>
        </is>
      </c>
      <c r="C34" s="23" t="n"/>
      <c r="D34" s="23" t="n"/>
      <c r="E34" s="24" t="n"/>
      <c r="F34" s="4" t="n"/>
      <c r="G34" s="4" t="n"/>
      <c r="H34" s="4" t="n"/>
      <c r="I34" s="4" t="n"/>
      <c r="J34" s="4" t="n"/>
      <c r="K34" s="4" t="n"/>
      <c r="L34" s="4" t="n"/>
      <c r="M34" s="4" t="n"/>
      <c r="N34" s="4" t="n"/>
      <c r="O34" s="4" t="n"/>
      <c r="P34" s="4" t="n"/>
      <c r="Q34" s="4" t="n"/>
      <c r="R34" s="4" t="n"/>
      <c r="S34" s="4" t="n"/>
      <c r="T34" s="4" t="n"/>
      <c r="U34" s="4" t="n"/>
      <c r="V34" s="4" t="n"/>
      <c r="W34" s="4" t="n"/>
      <c r="X34" s="4" t="n"/>
      <c r="Y34" s="4" t="n"/>
      <c r="Z34" s="4" t="n"/>
    </row>
    <row r="35" ht="50" customHeight="1" s="22">
      <c r="A35" s="9" t="inlineStr">
        <is>
          <t>Ajuste acordado</t>
        </is>
      </c>
      <c r="B35" s="12" t="inlineStr">
        <is>
          <t>Aprobar como encargado de pruebas solo después de la revisión técnica del otro programador; incluir en las pruebas automatizadas la recarga real con el reinicio de la sesión, no solo la base local en memoria; e integrar el frontend a mitad de semana, para que la aceptación no quede para el fin de semana.</t>
        </is>
      </c>
      <c r="C35" s="23" t="n"/>
      <c r="D35" s="23" t="n"/>
      <c r="E35" s="24" t="n"/>
      <c r="F35" s="4" t="n"/>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22">
      <c r="A36" s="1" t="n"/>
      <c r="B36" s="1" t="n"/>
      <c r="C36" s="1" t="n"/>
      <c r="D36" s="1" t="n"/>
      <c r="E36" s="1" t="n"/>
      <c r="F36" s="4" t="n"/>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22">
      <c r="A37" s="1" t="n"/>
      <c r="B37" s="1" t="n"/>
      <c r="C37" s="1" t="n"/>
      <c r="D37" s="1" t="n"/>
      <c r="E37" s="1" t="n"/>
      <c r="F37" s="4" t="n"/>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22">
      <c r="A38" s="1" t="n"/>
      <c r="B38" s="1" t="n"/>
      <c r="C38" s="1" t="n"/>
      <c r="D38" s="1" t="n"/>
      <c r="E38" s="1" t="n"/>
      <c r="F38" s="4" t="n"/>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22">
      <c r="A39" s="1" t="n"/>
      <c r="B39" s="1" t="n"/>
      <c r="C39" s="1" t="n"/>
      <c r="D39" s="1" t="n"/>
      <c r="E39" s="1" t="n"/>
      <c r="F39" s="4" t="n"/>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22">
      <c r="A40" s="1" t="n"/>
      <c r="B40" s="1" t="n"/>
      <c r="C40" s="1" t="n"/>
      <c r="D40" s="1" t="n"/>
      <c r="E40" s="1" t="n"/>
      <c r="F40" s="4" t="n"/>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22">
      <c r="A41" s="1" t="n"/>
      <c r="B41" s="1" t="n"/>
      <c r="C41" s="1" t="n"/>
      <c r="D41" s="1" t="n"/>
      <c r="E41" s="1" t="n"/>
      <c r="F41" s="4" t="n"/>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22">
      <c r="A42" s="1" t="n"/>
      <c r="B42" s="1" t="n"/>
      <c r="C42" s="1" t="n"/>
      <c r="D42" s="1" t="n"/>
      <c r="E42" s="1" t="n"/>
      <c r="F42" s="4" t="n"/>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22">
      <c r="A43" s="1" t="n"/>
      <c r="B43" s="1" t="n"/>
      <c r="C43" s="1" t="n"/>
      <c r="D43" s="1" t="n"/>
      <c r="E43" s="1" t="n"/>
      <c r="F43" s="4" t="n"/>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22">
      <c r="A44" s="1" t="n"/>
      <c r="B44" s="1" t="n"/>
      <c r="C44" s="1" t="n"/>
      <c r="D44" s="1" t="n"/>
      <c r="E44" s="1" t="n"/>
      <c r="F44" s="4" t="n"/>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22">
      <c r="A45" s="1" t="n"/>
      <c r="B45" s="1" t="n"/>
      <c r="C45" s="1" t="n"/>
      <c r="D45" s="1" t="n"/>
      <c r="E45" s="1" t="n"/>
      <c r="F45" s="4" t="n"/>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22">
      <c r="A46" s="1" t="n"/>
      <c r="B46" s="1" t="n"/>
      <c r="C46" s="1" t="n"/>
      <c r="D46" s="1" t="n"/>
      <c r="E46" s="1" t="n"/>
      <c r="F46" s="4" t="n"/>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22">
      <c r="A47" s="1" t="n"/>
      <c r="B47" s="1" t="n"/>
      <c r="C47" s="1" t="n"/>
      <c r="D47" s="1" t="n"/>
      <c r="E47" s="1" t="n"/>
      <c r="F47" s="4" t="n"/>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22">
      <c r="A48" s="1" t="n"/>
      <c r="B48" s="1" t="n"/>
      <c r="C48" s="1" t="n"/>
      <c r="D48" s="1" t="n"/>
      <c r="E48" s="1" t="n"/>
      <c r="F48" s="4" t="n"/>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22">
      <c r="A49" s="1" t="n"/>
      <c r="B49" s="1" t="n"/>
      <c r="C49" s="1" t="n"/>
      <c r="D49" s="1" t="n"/>
      <c r="E49" s="1" t="n"/>
      <c r="F49" s="4" t="n"/>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22">
      <c r="A50" s="1" t="n"/>
      <c r="B50" s="1" t="n"/>
      <c r="C50" s="1" t="n"/>
      <c r="D50" s="1" t="n"/>
      <c r="E50" s="1" t="n"/>
      <c r="F50" s="4" t="n"/>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22">
      <c r="A51" s="1" t="n"/>
      <c r="B51" s="1" t="n"/>
      <c r="C51" s="1" t="n"/>
      <c r="D51" s="1" t="n"/>
      <c r="E51" s="1" t="n"/>
      <c r="F51" s="4" t="n"/>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22">
      <c r="A52" s="1" t="n"/>
      <c r="B52" s="1" t="n"/>
      <c r="C52" s="1" t="n"/>
      <c r="D52" s="1" t="n"/>
      <c r="E52" s="1" t="n"/>
      <c r="F52" s="4" t="n"/>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22">
      <c r="A53" s="1" t="n"/>
      <c r="B53" s="1" t="n"/>
      <c r="C53" s="1" t="n"/>
      <c r="D53" s="1" t="n"/>
      <c r="E53" s="1" t="n"/>
      <c r="F53" s="4" t="n"/>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22">
      <c r="A54" s="1" t="n"/>
      <c r="B54" s="1" t="n"/>
      <c r="C54" s="1" t="n"/>
      <c r="D54" s="1" t="n"/>
      <c r="E54" s="1" t="n"/>
      <c r="F54" s="4" t="n"/>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22">
      <c r="A55" s="1" t="n"/>
      <c r="B55" s="1" t="n"/>
      <c r="C55" s="1" t="n"/>
      <c r="D55" s="1" t="n"/>
      <c r="E55" s="1" t="n"/>
      <c r="F55" s="4" t="n"/>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22">
      <c r="A56" s="1" t="n"/>
      <c r="B56" s="1" t="n"/>
      <c r="C56" s="1" t="n"/>
      <c r="D56" s="1" t="n"/>
      <c r="E56" s="1" t="n"/>
      <c r="F56" s="4" t="n"/>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22">
      <c r="A57" s="1" t="n"/>
      <c r="B57" s="1" t="n"/>
      <c r="C57" s="1" t="n"/>
      <c r="D57" s="1" t="n"/>
      <c r="E57" s="1" t="n"/>
      <c r="F57" s="4" t="n"/>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22">
      <c r="A58" s="1" t="n"/>
      <c r="B58" s="1" t="n"/>
      <c r="C58" s="1" t="n"/>
      <c r="D58" s="1" t="n"/>
      <c r="E58" s="1" t="n"/>
      <c r="F58" s="4" t="n"/>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22">
      <c r="A59" s="1" t="n"/>
      <c r="B59" s="1" t="n"/>
      <c r="C59" s="1" t="n"/>
      <c r="D59" s="1" t="n"/>
      <c r="E59" s="1" t="n"/>
      <c r="F59" s="4" t="n"/>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22">
      <c r="A60" s="1" t="n"/>
      <c r="B60" s="1" t="n"/>
      <c r="C60" s="1" t="n"/>
      <c r="D60" s="1" t="n"/>
      <c r="E60" s="1" t="n"/>
      <c r="F60" s="4" t="n"/>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22">
      <c r="A61" s="1" t="n"/>
      <c r="B61" s="1" t="n"/>
      <c r="C61" s="1" t="n"/>
      <c r="D61" s="1" t="n"/>
      <c r="E61" s="1" t="n"/>
      <c r="F61" s="4" t="n"/>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22">
      <c r="A62" s="1" t="n"/>
      <c r="B62" s="1" t="n"/>
      <c r="C62" s="1" t="n"/>
      <c r="D62" s="1" t="n"/>
      <c r="E62" s="1" t="n"/>
      <c r="F62" s="4" t="n"/>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22">
      <c r="A63" s="1" t="n"/>
      <c r="B63" s="1" t="n"/>
      <c r="C63" s="1" t="n"/>
      <c r="D63" s="1" t="n"/>
      <c r="E63" s="1" t="n"/>
      <c r="F63" s="4" t="n"/>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22">
      <c r="A64" s="1" t="n"/>
      <c r="B64" s="1" t="n"/>
      <c r="C64" s="1" t="n"/>
      <c r="D64" s="1" t="n"/>
      <c r="E64" s="1" t="n"/>
      <c r="F64" s="4" t="n"/>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22">
      <c r="A65" s="1" t="n"/>
      <c r="B65" s="1" t="n"/>
      <c r="C65" s="1" t="n"/>
      <c r="D65" s="1" t="n"/>
      <c r="E65" s="1" t="n"/>
      <c r="F65" s="4" t="n"/>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22">
      <c r="A66" s="1" t="n"/>
      <c r="B66" s="1" t="n"/>
      <c r="C66" s="1" t="n"/>
      <c r="D66" s="1" t="n"/>
      <c r="E66" s="1" t="n"/>
      <c r="F66" s="4" t="n"/>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22">
      <c r="A67" s="1" t="n"/>
      <c r="B67" s="1" t="n"/>
      <c r="C67" s="1" t="n"/>
      <c r="D67" s="1" t="n"/>
      <c r="E67" s="1" t="n"/>
      <c r="F67" s="4" t="n"/>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22">
      <c r="A68" s="1" t="n"/>
      <c r="B68" s="1" t="n"/>
      <c r="C68" s="1" t="n"/>
      <c r="D68" s="1" t="n"/>
      <c r="E68" s="1" t="n"/>
      <c r="F68" s="4" t="n"/>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22">
      <c r="A69" s="1" t="n"/>
      <c r="B69" s="1" t="n"/>
      <c r="C69" s="1" t="n"/>
      <c r="D69" s="1" t="n"/>
      <c r="E69" s="1" t="n"/>
      <c r="F69" s="4" t="n"/>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22">
      <c r="A70" s="1" t="n"/>
      <c r="B70" s="1" t="n"/>
      <c r="C70" s="1" t="n"/>
      <c r="D70" s="1" t="n"/>
      <c r="E70" s="1" t="n"/>
      <c r="F70" s="4" t="n"/>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22">
      <c r="A71" s="1" t="n"/>
      <c r="B71" s="1" t="n"/>
      <c r="C71" s="1" t="n"/>
      <c r="D71" s="1" t="n"/>
      <c r="E71" s="1" t="n"/>
      <c r="F71" s="4" t="n"/>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22">
      <c r="A72" s="1" t="n"/>
      <c r="B72" s="1" t="n"/>
      <c r="C72" s="1" t="n"/>
      <c r="D72" s="1" t="n"/>
      <c r="E72" s="1" t="n"/>
      <c r="F72" s="4" t="n"/>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22">
      <c r="A73" s="1" t="n"/>
      <c r="B73" s="1" t="n"/>
      <c r="C73" s="1" t="n"/>
      <c r="D73" s="1" t="n"/>
      <c r="E73" s="1" t="n"/>
      <c r="F73" s="4" t="n"/>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22">
      <c r="A74" s="1" t="n"/>
      <c r="B74" s="1" t="n"/>
      <c r="C74" s="1" t="n"/>
      <c r="D74" s="1" t="n"/>
      <c r="E74" s="1" t="n"/>
      <c r="F74" s="4" t="n"/>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22">
      <c r="A75" s="1" t="n"/>
      <c r="B75" s="1" t="n"/>
      <c r="C75" s="1" t="n"/>
      <c r="D75" s="1" t="n"/>
      <c r="E75" s="1" t="n"/>
      <c r="F75" s="4" t="n"/>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22">
      <c r="A76" s="1" t="n"/>
      <c r="B76" s="1" t="n"/>
      <c r="C76" s="1" t="n"/>
      <c r="D76" s="1" t="n"/>
      <c r="E76" s="1" t="n"/>
      <c r="F76" s="4" t="n"/>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22">
      <c r="A77" s="1" t="n"/>
      <c r="B77" s="1" t="n"/>
      <c r="C77" s="1" t="n"/>
      <c r="D77" s="1" t="n"/>
      <c r="E77" s="1" t="n"/>
      <c r="F77" s="4" t="n"/>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22">
      <c r="A78" s="1" t="n"/>
      <c r="B78" s="1" t="n"/>
      <c r="C78" s="1" t="n"/>
      <c r="D78" s="1" t="n"/>
      <c r="E78" s="1" t="n"/>
      <c r="F78" s="4" t="n"/>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22">
      <c r="A79" s="1" t="n"/>
      <c r="B79" s="1" t="n"/>
      <c r="C79" s="1" t="n"/>
      <c r="D79" s="1" t="n"/>
      <c r="E79" s="1" t="n"/>
      <c r="F79" s="4" t="n"/>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22">
      <c r="A80" s="1" t="n"/>
      <c r="B80" s="1" t="n"/>
      <c r="C80" s="1" t="n"/>
      <c r="D80" s="1" t="n"/>
      <c r="E80" s="1" t="n"/>
      <c r="F80" s="4" t="n"/>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22">
      <c r="A81" s="1" t="n"/>
      <c r="B81" s="1" t="n"/>
      <c r="C81" s="1" t="n"/>
      <c r="D81" s="1" t="n"/>
      <c r="E81" s="1" t="n"/>
      <c r="F81" s="4" t="n"/>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22">
      <c r="A82" s="1" t="n"/>
      <c r="B82" s="1" t="n"/>
      <c r="C82" s="1" t="n"/>
      <c r="D82" s="1" t="n"/>
      <c r="E82" s="1" t="n"/>
      <c r="F82" s="4" t="n"/>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22">
      <c r="A83" s="1" t="n"/>
      <c r="B83" s="1" t="n"/>
      <c r="C83" s="1" t="n"/>
      <c r="D83" s="1" t="n"/>
      <c r="E83" s="1" t="n"/>
      <c r="F83" s="4" t="n"/>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22">
      <c r="A84" s="1" t="n"/>
      <c r="B84" s="1" t="n"/>
      <c r="C84" s="1" t="n"/>
      <c r="D84" s="1" t="n"/>
      <c r="E84" s="1" t="n"/>
      <c r="F84" s="4" t="n"/>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22">
      <c r="A85" s="1" t="n"/>
      <c r="B85" s="1" t="n"/>
      <c r="C85" s="1" t="n"/>
      <c r="D85" s="1" t="n"/>
      <c r="E85" s="1" t="n"/>
      <c r="F85" s="4" t="n"/>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22">
      <c r="A86" s="1" t="n"/>
      <c r="B86" s="1" t="n"/>
      <c r="C86" s="1" t="n"/>
      <c r="D86" s="1" t="n"/>
      <c r="E86" s="1" t="n"/>
      <c r="F86" s="4" t="n"/>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22">
      <c r="A87" s="1" t="n"/>
      <c r="B87" s="1" t="n"/>
      <c r="C87" s="1" t="n"/>
      <c r="D87" s="1" t="n"/>
      <c r="E87" s="1" t="n"/>
      <c r="F87" s="4" t="n"/>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22">
      <c r="A88" s="1" t="n"/>
      <c r="B88" s="1" t="n"/>
      <c r="C88" s="1" t="n"/>
      <c r="D88" s="1" t="n"/>
      <c r="E88" s="1" t="n"/>
      <c r="F88" s="4" t="n"/>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22">
      <c r="A89" s="1" t="n"/>
      <c r="B89" s="1" t="n"/>
      <c r="C89" s="1" t="n"/>
      <c r="D89" s="1" t="n"/>
      <c r="E89" s="1" t="n"/>
      <c r="F89" s="4" t="n"/>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22">
      <c r="A90" s="1" t="n"/>
      <c r="B90" s="1" t="n"/>
      <c r="C90" s="1" t="n"/>
      <c r="D90" s="1" t="n"/>
      <c r="E90" s="1" t="n"/>
      <c r="F90" s="4" t="n"/>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22">
      <c r="A91" s="1" t="n"/>
      <c r="B91" s="1" t="n"/>
      <c r="C91" s="1" t="n"/>
      <c r="D91" s="1" t="n"/>
      <c r="E91" s="1" t="n"/>
      <c r="F91" s="4" t="n"/>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22">
      <c r="A92" s="1" t="n"/>
      <c r="B92" s="1" t="n"/>
      <c r="C92" s="1" t="n"/>
      <c r="D92" s="1" t="n"/>
      <c r="E92" s="1" t="n"/>
      <c r="F92" s="4" t="n"/>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22">
      <c r="A93" s="1" t="n"/>
      <c r="B93" s="1" t="n"/>
      <c r="C93" s="1" t="n"/>
      <c r="D93" s="1" t="n"/>
      <c r="E93" s="1" t="n"/>
      <c r="F93" s="4" t="n"/>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22">
      <c r="A94" s="1" t="n"/>
      <c r="B94" s="1" t="n"/>
      <c r="C94" s="1" t="n"/>
      <c r="D94" s="1" t="n"/>
      <c r="E94" s="1" t="n"/>
      <c r="F94" s="4" t="n"/>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22">
      <c r="A95" s="1" t="n"/>
      <c r="B95" s="1" t="n"/>
      <c r="C95" s="1" t="n"/>
      <c r="D95" s="1" t="n"/>
      <c r="E95" s="1" t="n"/>
      <c r="F95" s="4" t="n"/>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22">
      <c r="A96" s="1" t="n"/>
      <c r="B96" s="1" t="n"/>
      <c r="C96" s="1" t="n"/>
      <c r="D96" s="1" t="n"/>
      <c r="E96" s="1" t="n"/>
      <c r="F96" s="4" t="n"/>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22">
      <c r="A97" s="1" t="n"/>
      <c r="B97" s="1" t="n"/>
      <c r="C97" s="1" t="n"/>
      <c r="D97" s="1" t="n"/>
      <c r="E97" s="1" t="n"/>
      <c r="F97" s="4" t="n"/>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22">
      <c r="A98" s="1" t="n"/>
      <c r="B98" s="1" t="n"/>
      <c r="C98" s="1" t="n"/>
      <c r="D98" s="1" t="n"/>
      <c r="E98" s="1" t="n"/>
      <c r="F98" s="4" t="n"/>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22">
      <c r="A99" s="1" t="n"/>
      <c r="B99" s="1" t="n"/>
      <c r="C99" s="1" t="n"/>
      <c r="D99" s="1" t="n"/>
      <c r="E99" s="1" t="n"/>
      <c r="F99" s="4" t="n"/>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22">
      <c r="A100" s="1" t="n"/>
      <c r="B100" s="1" t="n"/>
      <c r="C100" s="1" t="n"/>
      <c r="D100" s="1" t="n"/>
      <c r="E100" s="1" t="n"/>
      <c r="F100" s="4" t="n"/>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22">
      <c r="A101" s="1" t="n"/>
      <c r="B101" s="1" t="n"/>
      <c r="C101" s="1" t="n"/>
      <c r="D101" s="1" t="n"/>
      <c r="E101" s="1" t="n"/>
      <c r="F101" s="4" t="n"/>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22">
      <c r="A102" s="1" t="n"/>
      <c r="B102" s="1" t="n"/>
      <c r="C102" s="1" t="n"/>
      <c r="D102" s="1" t="n"/>
      <c r="E102" s="1" t="n"/>
      <c r="F102" s="4" t="n"/>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22">
      <c r="A103" s="1" t="n"/>
      <c r="B103" s="1" t="n"/>
      <c r="C103" s="1" t="n"/>
      <c r="D103" s="1" t="n"/>
      <c r="E103" s="1" t="n"/>
      <c r="F103" s="4" t="n"/>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22">
      <c r="A104" s="1" t="n"/>
      <c r="B104" s="1" t="n"/>
      <c r="C104" s="1" t="n"/>
      <c r="D104" s="1" t="n"/>
      <c r="E104" s="1" t="n"/>
      <c r="F104" s="4" t="n"/>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22">
      <c r="A105" s="1" t="n"/>
      <c r="B105" s="1" t="n"/>
      <c r="C105" s="1" t="n"/>
      <c r="D105" s="1" t="n"/>
      <c r="E105" s="1" t="n"/>
      <c r="F105" s="4" t="n"/>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22">
      <c r="A106" s="1" t="n"/>
      <c r="B106" s="1" t="n"/>
      <c r="C106" s="1" t="n"/>
      <c r="D106" s="1" t="n"/>
      <c r="E106" s="1" t="n"/>
      <c r="F106" s="4" t="n"/>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22">
      <c r="A107" s="1" t="n"/>
      <c r="B107" s="1" t="n"/>
      <c r="C107" s="1" t="n"/>
      <c r="D107" s="1" t="n"/>
      <c r="E107" s="1" t="n"/>
      <c r="F107" s="4" t="n"/>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22">
      <c r="A108" s="1" t="n"/>
      <c r="B108" s="1" t="n"/>
      <c r="C108" s="1" t="n"/>
      <c r="D108" s="1" t="n"/>
      <c r="E108" s="1" t="n"/>
      <c r="F108" s="4" t="n"/>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22">
      <c r="A109" s="1" t="n"/>
      <c r="B109" s="1" t="n"/>
      <c r="C109" s="1" t="n"/>
      <c r="D109" s="1" t="n"/>
      <c r="E109" s="1" t="n"/>
      <c r="F109" s="4" t="n"/>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22">
      <c r="A110" s="1" t="n"/>
      <c r="B110" s="1" t="n"/>
      <c r="C110" s="1" t="n"/>
      <c r="D110" s="1" t="n"/>
      <c r="E110" s="1" t="n"/>
      <c r="F110" s="4" t="n"/>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22">
      <c r="A111" s="1" t="n"/>
      <c r="B111" s="1" t="n"/>
      <c r="C111" s="1" t="n"/>
      <c r="D111" s="1" t="n"/>
      <c r="E111" s="1" t="n"/>
      <c r="F111" s="4" t="n"/>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22">
      <c r="A112" s="1" t="n"/>
      <c r="B112" s="1" t="n"/>
      <c r="C112" s="1" t="n"/>
      <c r="D112" s="1" t="n"/>
      <c r="E112" s="1" t="n"/>
      <c r="F112" s="4" t="n"/>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22">
      <c r="A113" s="1" t="n"/>
      <c r="B113" s="1" t="n"/>
      <c r="C113" s="1" t="n"/>
      <c r="D113" s="1" t="n"/>
      <c r="E113" s="1" t="n"/>
      <c r="F113" s="4" t="n"/>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22">
      <c r="A114" s="1" t="n"/>
      <c r="B114" s="1" t="n"/>
      <c r="C114" s="1" t="n"/>
      <c r="D114" s="1" t="n"/>
      <c r="E114" s="1" t="n"/>
      <c r="F114" s="4" t="n"/>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22">
      <c r="A115" s="1" t="n"/>
      <c r="B115" s="1" t="n"/>
      <c r="C115" s="1" t="n"/>
      <c r="D115" s="1" t="n"/>
      <c r="E115" s="1" t="n"/>
      <c r="F115" s="4" t="n"/>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22">
      <c r="A116" s="1" t="n"/>
      <c r="B116" s="1" t="n"/>
      <c r="C116" s="1" t="n"/>
      <c r="D116" s="1" t="n"/>
      <c r="E116" s="1" t="n"/>
      <c r="F116" s="4" t="n"/>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22">
      <c r="A117" s="1" t="n"/>
      <c r="B117" s="1" t="n"/>
      <c r="C117" s="1" t="n"/>
      <c r="D117" s="1" t="n"/>
      <c r="E117" s="1" t="n"/>
      <c r="F117" s="4" t="n"/>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22">
      <c r="A118" s="1" t="n"/>
      <c r="B118" s="1" t="n"/>
      <c r="C118" s="1" t="n"/>
      <c r="D118" s="1" t="n"/>
      <c r="E118" s="1" t="n"/>
      <c r="F118" s="4" t="n"/>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22">
      <c r="A119" s="1" t="n"/>
      <c r="B119" s="1" t="n"/>
      <c r="C119" s="1" t="n"/>
      <c r="D119" s="1" t="n"/>
      <c r="E119" s="1" t="n"/>
      <c r="F119" s="4" t="n"/>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22">
      <c r="A120" s="1" t="n"/>
      <c r="B120" s="1" t="n"/>
      <c r="C120" s="1" t="n"/>
      <c r="D120" s="1" t="n"/>
      <c r="E120" s="1" t="n"/>
      <c r="F120" s="4" t="n"/>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22">
      <c r="A121" s="1" t="n"/>
      <c r="B121" s="1" t="n"/>
      <c r="C121" s="1" t="n"/>
      <c r="D121" s="1" t="n"/>
      <c r="E121" s="1" t="n"/>
      <c r="F121" s="4" t="n"/>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22">
      <c r="A122" s="1" t="n"/>
      <c r="B122" s="1" t="n"/>
      <c r="C122" s="1" t="n"/>
      <c r="D122" s="1" t="n"/>
      <c r="E122" s="1" t="n"/>
      <c r="F122" s="4" t="n"/>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22">
      <c r="A123" s="1" t="n"/>
      <c r="B123" s="1" t="n"/>
      <c r="C123" s="1" t="n"/>
      <c r="D123" s="1" t="n"/>
      <c r="E123" s="1" t="n"/>
      <c r="F123" s="4" t="n"/>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22">
      <c r="A124" s="1" t="n"/>
      <c r="B124" s="1" t="n"/>
      <c r="C124" s="1" t="n"/>
      <c r="D124" s="1" t="n"/>
      <c r="E124" s="1" t="n"/>
      <c r="F124" s="4" t="n"/>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22">
      <c r="A125" s="1" t="n"/>
      <c r="B125" s="1" t="n"/>
      <c r="C125" s="1" t="n"/>
      <c r="D125" s="1" t="n"/>
      <c r="E125" s="1" t="n"/>
      <c r="F125" s="4" t="n"/>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22">
      <c r="A126" s="1" t="n"/>
      <c r="B126" s="1" t="n"/>
      <c r="C126" s="1" t="n"/>
      <c r="D126" s="1" t="n"/>
      <c r="E126" s="1" t="n"/>
      <c r="F126" s="4" t="n"/>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22">
      <c r="A127" s="1" t="n"/>
      <c r="B127" s="1" t="n"/>
      <c r="C127" s="1" t="n"/>
      <c r="D127" s="1" t="n"/>
      <c r="E127" s="1" t="n"/>
      <c r="F127" s="4" t="n"/>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22">
      <c r="A128" s="1" t="n"/>
      <c r="B128" s="1" t="n"/>
      <c r="C128" s="1" t="n"/>
      <c r="D128" s="1" t="n"/>
      <c r="E128" s="1" t="n"/>
      <c r="F128" s="4" t="n"/>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22">
      <c r="A129" s="1" t="n"/>
      <c r="B129" s="1" t="n"/>
      <c r="C129" s="1" t="n"/>
      <c r="D129" s="1" t="n"/>
      <c r="E129" s="1" t="n"/>
      <c r="F129" s="4" t="n"/>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22">
      <c r="A130" s="1" t="n"/>
      <c r="B130" s="1" t="n"/>
      <c r="C130" s="1" t="n"/>
      <c r="D130" s="1" t="n"/>
      <c r="E130" s="1" t="n"/>
      <c r="F130" s="4" t="n"/>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22">
      <c r="A131" s="1" t="n"/>
      <c r="B131" s="1" t="n"/>
      <c r="C131" s="1" t="n"/>
      <c r="D131" s="1" t="n"/>
      <c r="E131" s="1" t="n"/>
      <c r="F131" s="4" t="n"/>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22">
      <c r="A132" s="1" t="n"/>
      <c r="B132" s="1" t="n"/>
      <c r="C132" s="1" t="n"/>
      <c r="D132" s="1" t="n"/>
      <c r="E132" s="1" t="n"/>
      <c r="F132" s="4" t="n"/>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22">
      <c r="A133" s="1" t="n"/>
      <c r="B133" s="1" t="n"/>
      <c r="C133" s="1" t="n"/>
      <c r="D133" s="1" t="n"/>
      <c r="E133" s="1" t="n"/>
      <c r="F133" s="4" t="n"/>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22">
      <c r="A134" s="1" t="n"/>
      <c r="B134" s="1" t="n"/>
      <c r="C134" s="1" t="n"/>
      <c r="D134" s="1" t="n"/>
      <c r="E134" s="1" t="n"/>
      <c r="F134" s="4" t="n"/>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22">
      <c r="A135" s="1" t="n"/>
      <c r="B135" s="1" t="n"/>
      <c r="C135" s="1" t="n"/>
      <c r="D135" s="1" t="n"/>
      <c r="E135" s="1" t="n"/>
      <c r="F135" s="4" t="n"/>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22">
      <c r="A136" s="1" t="n"/>
      <c r="B136" s="1" t="n"/>
      <c r="C136" s="1" t="n"/>
      <c r="D136" s="1" t="n"/>
      <c r="E136" s="1" t="n"/>
      <c r="F136" s="4" t="n"/>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22">
      <c r="A137" s="1" t="n"/>
      <c r="B137" s="1" t="n"/>
      <c r="C137" s="1" t="n"/>
      <c r="D137" s="1" t="n"/>
      <c r="E137" s="1" t="n"/>
      <c r="F137" s="4" t="n"/>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22">
      <c r="A138" s="1" t="n"/>
      <c r="B138" s="1" t="n"/>
      <c r="C138" s="1" t="n"/>
      <c r="D138" s="1" t="n"/>
      <c r="E138" s="1" t="n"/>
      <c r="F138" s="4" t="n"/>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22">
      <c r="A139" s="1" t="n"/>
      <c r="B139" s="1" t="n"/>
      <c r="C139" s="1" t="n"/>
      <c r="D139" s="1" t="n"/>
      <c r="E139" s="1" t="n"/>
      <c r="F139" s="4" t="n"/>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22">
      <c r="A140" s="1" t="n"/>
      <c r="B140" s="1" t="n"/>
      <c r="C140" s="1" t="n"/>
      <c r="D140" s="1" t="n"/>
      <c r="E140" s="1" t="n"/>
      <c r="F140" s="4" t="n"/>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22">
      <c r="A141" s="1" t="n"/>
      <c r="B141" s="1" t="n"/>
      <c r="C141" s="1" t="n"/>
      <c r="D141" s="1" t="n"/>
      <c r="E141" s="1" t="n"/>
      <c r="F141" s="4" t="n"/>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22">
      <c r="A142" s="1" t="n"/>
      <c r="B142" s="1" t="n"/>
      <c r="C142" s="1" t="n"/>
      <c r="D142" s="1" t="n"/>
      <c r="E142" s="1" t="n"/>
      <c r="F142" s="4" t="n"/>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22">
      <c r="A143" s="1" t="n"/>
      <c r="B143" s="1" t="n"/>
      <c r="C143" s="1" t="n"/>
      <c r="D143" s="1" t="n"/>
      <c r="E143" s="1" t="n"/>
      <c r="F143" s="4" t="n"/>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22">
      <c r="A144" s="1" t="n"/>
      <c r="B144" s="1" t="n"/>
      <c r="C144" s="1" t="n"/>
      <c r="D144" s="1" t="n"/>
      <c r="E144" s="1" t="n"/>
      <c r="F144" s="4" t="n"/>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22">
      <c r="A145" s="1" t="n"/>
      <c r="B145" s="1" t="n"/>
      <c r="C145" s="1" t="n"/>
      <c r="D145" s="1" t="n"/>
      <c r="E145" s="1" t="n"/>
      <c r="F145" s="4" t="n"/>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22">
      <c r="A146" s="1" t="n"/>
      <c r="B146" s="1" t="n"/>
      <c r="C146" s="1" t="n"/>
      <c r="D146" s="1" t="n"/>
      <c r="E146" s="1" t="n"/>
      <c r="F146" s="4" t="n"/>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22">
      <c r="A147" s="1" t="n"/>
      <c r="B147" s="1" t="n"/>
      <c r="C147" s="1" t="n"/>
      <c r="D147" s="1" t="n"/>
      <c r="E147" s="1" t="n"/>
      <c r="F147" s="4" t="n"/>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22">
      <c r="A148" s="1" t="n"/>
      <c r="B148" s="1" t="n"/>
      <c r="C148" s="1" t="n"/>
      <c r="D148" s="1" t="n"/>
      <c r="E148" s="1" t="n"/>
      <c r="F148" s="4" t="n"/>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22">
      <c r="A149" s="1" t="n"/>
      <c r="B149" s="1" t="n"/>
      <c r="C149" s="1" t="n"/>
      <c r="D149" s="1" t="n"/>
      <c r="E149" s="1" t="n"/>
      <c r="F149" s="4" t="n"/>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22">
      <c r="A150" s="1" t="n"/>
      <c r="B150" s="1" t="n"/>
      <c r="C150" s="1" t="n"/>
      <c r="D150" s="1" t="n"/>
      <c r="E150" s="1" t="n"/>
      <c r="F150" s="4" t="n"/>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22">
      <c r="A151" s="1" t="n"/>
      <c r="B151" s="1" t="n"/>
      <c r="C151" s="1" t="n"/>
      <c r="D151" s="1" t="n"/>
      <c r="E151" s="1" t="n"/>
      <c r="F151" s="4" t="n"/>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22">
      <c r="A152" s="1" t="n"/>
      <c r="B152" s="1" t="n"/>
      <c r="C152" s="1" t="n"/>
      <c r="D152" s="1" t="n"/>
      <c r="E152" s="1" t="n"/>
      <c r="F152" s="4" t="n"/>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22">
      <c r="A153" s="1" t="n"/>
      <c r="B153" s="1" t="n"/>
      <c r="C153" s="1" t="n"/>
      <c r="D153" s="1" t="n"/>
      <c r="E153" s="1" t="n"/>
      <c r="F153" s="4" t="n"/>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22">
      <c r="A154" s="1" t="n"/>
      <c r="B154" s="1" t="n"/>
      <c r="C154" s="1" t="n"/>
      <c r="D154" s="1" t="n"/>
      <c r="E154" s="1" t="n"/>
      <c r="F154" s="4" t="n"/>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22">
      <c r="A155" s="1" t="n"/>
      <c r="B155" s="1" t="n"/>
      <c r="C155" s="1" t="n"/>
      <c r="D155" s="1" t="n"/>
      <c r="E155" s="1" t="n"/>
      <c r="F155" s="4" t="n"/>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22">
      <c r="A156" s="1" t="n"/>
      <c r="B156" s="1" t="n"/>
      <c r="C156" s="1" t="n"/>
      <c r="D156" s="1" t="n"/>
      <c r="E156" s="1" t="n"/>
      <c r="F156" s="4" t="n"/>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22">
      <c r="A157" s="1" t="n"/>
      <c r="B157" s="1" t="n"/>
      <c r="C157" s="1" t="n"/>
      <c r="D157" s="1" t="n"/>
      <c r="E157" s="1" t="n"/>
      <c r="F157" s="4" t="n"/>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22">
      <c r="A158" s="1" t="n"/>
      <c r="B158" s="1" t="n"/>
      <c r="C158" s="1" t="n"/>
      <c r="D158" s="1" t="n"/>
      <c r="E158" s="1" t="n"/>
      <c r="F158" s="4" t="n"/>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22">
      <c r="A159" s="1" t="n"/>
      <c r="B159" s="1" t="n"/>
      <c r="C159" s="1" t="n"/>
      <c r="D159" s="1" t="n"/>
      <c r="E159" s="1" t="n"/>
      <c r="F159" s="4" t="n"/>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22">
      <c r="A160" s="1" t="n"/>
      <c r="B160" s="1" t="n"/>
      <c r="C160" s="1" t="n"/>
      <c r="D160" s="1" t="n"/>
      <c r="E160" s="1" t="n"/>
      <c r="F160" s="4" t="n"/>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22">
      <c r="A161" s="1" t="n"/>
      <c r="B161" s="1" t="n"/>
      <c r="C161" s="1" t="n"/>
      <c r="D161" s="1" t="n"/>
      <c r="E161" s="1" t="n"/>
      <c r="F161" s="4" t="n"/>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22">
      <c r="A162" s="1" t="n"/>
      <c r="B162" s="1" t="n"/>
      <c r="C162" s="1" t="n"/>
      <c r="D162" s="1" t="n"/>
      <c r="E162" s="1" t="n"/>
      <c r="F162" s="4" t="n"/>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22">
      <c r="A163" s="1" t="n"/>
      <c r="B163" s="1" t="n"/>
      <c r="C163" s="1" t="n"/>
      <c r="D163" s="1" t="n"/>
      <c r="E163" s="1" t="n"/>
      <c r="F163" s="4" t="n"/>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22">
      <c r="A164" s="1" t="n"/>
      <c r="B164" s="1" t="n"/>
      <c r="C164" s="1" t="n"/>
      <c r="D164" s="1" t="n"/>
      <c r="E164" s="1" t="n"/>
      <c r="F164" s="4" t="n"/>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22">
      <c r="A165" s="1" t="n"/>
      <c r="B165" s="1" t="n"/>
      <c r="C165" s="1" t="n"/>
      <c r="D165" s="1" t="n"/>
      <c r="E165" s="1" t="n"/>
      <c r="F165" s="4" t="n"/>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22">
      <c r="A166" s="1" t="n"/>
      <c r="B166" s="1" t="n"/>
      <c r="C166" s="1" t="n"/>
      <c r="D166" s="1" t="n"/>
      <c r="E166" s="1" t="n"/>
      <c r="F166" s="4" t="n"/>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22">
      <c r="A167" s="1" t="n"/>
      <c r="B167" s="1" t="n"/>
      <c r="C167" s="1" t="n"/>
      <c r="D167" s="1" t="n"/>
      <c r="E167" s="1" t="n"/>
      <c r="F167" s="4" t="n"/>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22">
      <c r="A168" s="1" t="n"/>
      <c r="B168" s="1" t="n"/>
      <c r="C168" s="1" t="n"/>
      <c r="D168" s="1" t="n"/>
      <c r="E168" s="1" t="n"/>
      <c r="F168" s="4" t="n"/>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22">
      <c r="A169" s="1" t="n"/>
      <c r="B169" s="1" t="n"/>
      <c r="C169" s="1" t="n"/>
      <c r="D169" s="1" t="n"/>
      <c r="E169" s="1" t="n"/>
      <c r="F169" s="4" t="n"/>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22">
      <c r="A170" s="1" t="n"/>
      <c r="B170" s="1" t="n"/>
      <c r="C170" s="1" t="n"/>
      <c r="D170" s="1" t="n"/>
      <c r="E170" s="1" t="n"/>
      <c r="F170" s="4" t="n"/>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22">
      <c r="A171" s="1" t="n"/>
      <c r="B171" s="1" t="n"/>
      <c r="C171" s="1" t="n"/>
      <c r="D171" s="1" t="n"/>
      <c r="E171" s="1" t="n"/>
      <c r="F171" s="4" t="n"/>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22">
      <c r="A172" s="1" t="n"/>
      <c r="B172" s="1" t="n"/>
      <c r="C172" s="1" t="n"/>
      <c r="D172" s="1" t="n"/>
      <c r="E172" s="1" t="n"/>
      <c r="F172" s="4" t="n"/>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22">
      <c r="A173" s="1" t="n"/>
      <c r="B173" s="1" t="n"/>
      <c r="C173" s="1" t="n"/>
      <c r="D173" s="1" t="n"/>
      <c r="E173" s="1" t="n"/>
      <c r="F173" s="4" t="n"/>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22">
      <c r="A174" s="1" t="n"/>
      <c r="B174" s="1" t="n"/>
      <c r="C174" s="1" t="n"/>
      <c r="D174" s="1" t="n"/>
      <c r="E174" s="1" t="n"/>
      <c r="F174" s="4" t="n"/>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22">
      <c r="A175" s="1" t="n"/>
      <c r="B175" s="1" t="n"/>
      <c r="C175" s="1" t="n"/>
      <c r="D175" s="1" t="n"/>
      <c r="E175" s="1" t="n"/>
      <c r="F175" s="4" t="n"/>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22">
      <c r="A176" s="1" t="n"/>
      <c r="B176" s="1" t="n"/>
      <c r="C176" s="1" t="n"/>
      <c r="D176" s="1" t="n"/>
      <c r="E176" s="1" t="n"/>
      <c r="F176" s="4" t="n"/>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22">
      <c r="A177" s="1" t="n"/>
      <c r="B177" s="1" t="n"/>
      <c r="C177" s="1" t="n"/>
      <c r="D177" s="1" t="n"/>
      <c r="E177" s="1"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22">
      <c r="A178" s="1" t="n"/>
      <c r="B178" s="1" t="n"/>
      <c r="C178" s="1" t="n"/>
      <c r="D178" s="1" t="n"/>
      <c r="E178" s="1" t="n"/>
      <c r="F178" s="4" t="n"/>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22">
      <c r="A179" s="1" t="n"/>
      <c r="B179" s="1" t="n"/>
      <c r="C179" s="1" t="n"/>
      <c r="D179" s="1" t="n"/>
      <c r="E179" s="1" t="n"/>
      <c r="F179" s="4" t="n"/>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22">
      <c r="A180" s="1" t="n"/>
      <c r="B180" s="1" t="n"/>
      <c r="C180" s="1" t="n"/>
      <c r="D180" s="1" t="n"/>
      <c r="E180" s="1" t="n"/>
      <c r="F180" s="4" t="n"/>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22">
      <c r="A181" s="1" t="n"/>
      <c r="B181" s="1" t="n"/>
      <c r="C181" s="1" t="n"/>
      <c r="D181" s="1" t="n"/>
      <c r="E181" s="1" t="n"/>
      <c r="F181" s="4" t="n"/>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22">
      <c r="A182" s="1" t="n"/>
      <c r="B182" s="1" t="n"/>
      <c r="C182" s="1" t="n"/>
      <c r="D182" s="1" t="n"/>
      <c r="E182" s="1" t="n"/>
      <c r="F182" s="4" t="n"/>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22">
      <c r="A183" s="1" t="n"/>
      <c r="B183" s="1" t="n"/>
      <c r="C183" s="1" t="n"/>
      <c r="D183" s="1" t="n"/>
      <c r="E183" s="1" t="n"/>
      <c r="F183" s="4" t="n"/>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22">
      <c r="A184" s="1" t="n"/>
      <c r="B184" s="1" t="n"/>
      <c r="C184" s="1" t="n"/>
      <c r="D184" s="1" t="n"/>
      <c r="E184" s="1" t="n"/>
      <c r="F184" s="4" t="n"/>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22">
      <c r="A185" s="1" t="n"/>
      <c r="B185" s="1" t="n"/>
      <c r="C185" s="1" t="n"/>
      <c r="D185" s="1" t="n"/>
      <c r="E185" s="1" t="n"/>
      <c r="F185" s="4" t="n"/>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22">
      <c r="A186" s="1" t="n"/>
      <c r="B186" s="1" t="n"/>
      <c r="C186" s="1" t="n"/>
      <c r="D186" s="1" t="n"/>
      <c r="E186" s="1" t="n"/>
      <c r="F186" s="4" t="n"/>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22">
      <c r="A187" s="1" t="n"/>
      <c r="B187" s="1" t="n"/>
      <c r="C187" s="1" t="n"/>
      <c r="D187" s="1" t="n"/>
      <c r="E187" s="1" t="n"/>
      <c r="F187" s="4" t="n"/>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22">
      <c r="A188" s="1" t="n"/>
      <c r="B188" s="1" t="n"/>
      <c r="C188" s="1" t="n"/>
      <c r="D188" s="1" t="n"/>
      <c r="E188" s="1" t="n"/>
      <c r="F188" s="4" t="n"/>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22">
      <c r="A189" s="1" t="n"/>
      <c r="B189" s="1" t="n"/>
      <c r="C189" s="1" t="n"/>
      <c r="D189" s="1" t="n"/>
      <c r="E189" s="1" t="n"/>
      <c r="F189" s="4" t="n"/>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22">
      <c r="A190" s="1" t="n"/>
      <c r="B190" s="1" t="n"/>
      <c r="C190" s="1" t="n"/>
      <c r="D190" s="1" t="n"/>
      <c r="E190" s="1" t="n"/>
      <c r="F190" s="4" t="n"/>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22">
      <c r="A191" s="1" t="n"/>
      <c r="B191" s="1" t="n"/>
      <c r="C191" s="1" t="n"/>
      <c r="D191" s="1" t="n"/>
      <c r="E191" s="1" t="n"/>
      <c r="F191" s="4" t="n"/>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22">
      <c r="A192" s="1" t="n"/>
      <c r="B192" s="1" t="n"/>
      <c r="C192" s="1" t="n"/>
      <c r="D192" s="1" t="n"/>
      <c r="E192" s="1" t="n"/>
      <c r="F192" s="4" t="n"/>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22">
      <c r="A193" s="1" t="n"/>
      <c r="B193" s="1" t="n"/>
      <c r="C193" s="1" t="n"/>
      <c r="D193" s="1" t="n"/>
      <c r="E193" s="1" t="n"/>
      <c r="F193" s="4" t="n"/>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22">
      <c r="A194" s="1" t="n"/>
      <c r="B194" s="1" t="n"/>
      <c r="C194" s="1" t="n"/>
      <c r="D194" s="1" t="n"/>
      <c r="E194" s="1" t="n"/>
      <c r="F194" s="4" t="n"/>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22">
      <c r="A195" s="1" t="n"/>
      <c r="B195" s="1" t="n"/>
      <c r="C195" s="1" t="n"/>
      <c r="D195" s="1" t="n"/>
      <c r="E195" s="1" t="n"/>
      <c r="F195" s="4" t="n"/>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22">
      <c r="A196" s="1" t="n"/>
      <c r="B196" s="1" t="n"/>
      <c r="C196" s="1" t="n"/>
      <c r="D196" s="1" t="n"/>
      <c r="E196" s="1" t="n"/>
      <c r="F196" s="4" t="n"/>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22">
      <c r="A197" s="1" t="n"/>
      <c r="B197" s="1" t="n"/>
      <c r="C197" s="1" t="n"/>
      <c r="D197" s="1" t="n"/>
      <c r="E197" s="1" t="n"/>
      <c r="F197" s="4" t="n"/>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22">
      <c r="A198" s="1" t="n"/>
      <c r="B198" s="1" t="n"/>
      <c r="C198" s="1" t="n"/>
      <c r="D198" s="1" t="n"/>
      <c r="E198" s="1" t="n"/>
      <c r="F198" s="4" t="n"/>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22">
      <c r="A199" s="1" t="n"/>
      <c r="B199" s="1" t="n"/>
      <c r="C199" s="1" t="n"/>
      <c r="D199" s="1" t="n"/>
      <c r="E199" s="1" t="n"/>
      <c r="F199" s="4" t="n"/>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22">
      <c r="A200" s="1" t="n"/>
      <c r="B200" s="1" t="n"/>
      <c r="C200" s="1" t="n"/>
      <c r="D200" s="1" t="n"/>
      <c r="E200" s="1" t="n"/>
      <c r="F200" s="4" t="n"/>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22">
      <c r="A201" s="1" t="n"/>
      <c r="B201" s="1" t="n"/>
      <c r="C201" s="1" t="n"/>
      <c r="D201" s="1" t="n"/>
      <c r="E201" s="1" t="n"/>
      <c r="F201" s="4" t="n"/>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22">
      <c r="A202" s="1" t="n"/>
      <c r="B202" s="1" t="n"/>
      <c r="C202" s="1" t="n"/>
      <c r="D202" s="1" t="n"/>
      <c r="E202" s="1" t="n"/>
      <c r="F202" s="4" t="n"/>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22">
      <c r="A203" s="1" t="n"/>
      <c r="B203" s="1" t="n"/>
      <c r="C203" s="1" t="n"/>
      <c r="D203" s="1" t="n"/>
      <c r="E203" s="1" t="n"/>
      <c r="F203" s="4" t="n"/>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22">
      <c r="A204" s="1" t="n"/>
      <c r="B204" s="1" t="n"/>
      <c r="C204" s="1" t="n"/>
      <c r="D204" s="1" t="n"/>
      <c r="E204" s="1" t="n"/>
      <c r="F204" s="4" t="n"/>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22">
      <c r="A205" s="1" t="n"/>
      <c r="B205" s="1" t="n"/>
      <c r="C205" s="1" t="n"/>
      <c r="D205" s="1" t="n"/>
      <c r="E205" s="1" t="n"/>
      <c r="F205" s="4" t="n"/>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22">
      <c r="A206" s="1" t="n"/>
      <c r="B206" s="1" t="n"/>
      <c r="C206" s="1" t="n"/>
      <c r="D206" s="1" t="n"/>
      <c r="E206" s="1" t="n"/>
      <c r="F206" s="4" t="n"/>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22">
      <c r="A207" s="1" t="n"/>
      <c r="B207" s="1" t="n"/>
      <c r="C207" s="1" t="n"/>
      <c r="D207" s="1" t="n"/>
      <c r="E207" s="1" t="n"/>
      <c r="F207" s="4" t="n"/>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22">
      <c r="A208" s="1" t="n"/>
      <c r="B208" s="1" t="n"/>
      <c r="C208" s="1" t="n"/>
      <c r="D208" s="1" t="n"/>
      <c r="E208" s="1" t="n"/>
      <c r="F208" s="4" t="n"/>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22">
      <c r="A209" s="1" t="n"/>
      <c r="B209" s="1" t="n"/>
      <c r="C209" s="1" t="n"/>
      <c r="D209" s="1" t="n"/>
      <c r="E209" s="1" t="n"/>
      <c r="F209" s="4" t="n"/>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22">
      <c r="A210" s="1" t="n"/>
      <c r="B210" s="1" t="n"/>
      <c r="C210" s="1" t="n"/>
      <c r="D210" s="1" t="n"/>
      <c r="E210" s="1" t="n"/>
      <c r="F210" s="4" t="n"/>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22">
      <c r="A211" s="1" t="n"/>
      <c r="B211" s="1" t="n"/>
      <c r="C211" s="1" t="n"/>
      <c r="D211" s="1" t="n"/>
      <c r="E211" s="1" t="n"/>
      <c r="F211" s="4" t="n"/>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22">
      <c r="A212" s="1" t="n"/>
      <c r="B212" s="1" t="n"/>
      <c r="C212" s="1" t="n"/>
      <c r="D212" s="1" t="n"/>
      <c r="E212" s="1" t="n"/>
      <c r="F212" s="4" t="n"/>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22">
      <c r="A213" s="1" t="n"/>
      <c r="B213" s="1" t="n"/>
      <c r="C213" s="1" t="n"/>
      <c r="D213" s="1" t="n"/>
      <c r="E213" s="1" t="n"/>
      <c r="F213" s="4" t="n"/>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22">
      <c r="A214" s="1" t="n"/>
      <c r="B214" s="1" t="n"/>
      <c r="C214" s="1" t="n"/>
      <c r="D214" s="1" t="n"/>
      <c r="E214" s="1" t="n"/>
      <c r="F214" s="4" t="n"/>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22">
      <c r="A215" s="1" t="n"/>
      <c r="B215" s="1" t="n"/>
      <c r="C215" s="1" t="n"/>
      <c r="D215" s="1" t="n"/>
      <c r="E215" s="1" t="n"/>
      <c r="F215" s="4" t="n"/>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22">
      <c r="A216" s="1" t="n"/>
      <c r="B216" s="1" t="n"/>
      <c r="C216" s="1" t="n"/>
      <c r="D216" s="1" t="n"/>
      <c r="E216" s="1" t="n"/>
      <c r="F216" s="4" t="n"/>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22">
      <c r="A217" s="1" t="n"/>
      <c r="B217" s="1" t="n"/>
      <c r="C217" s="1" t="n"/>
      <c r="D217" s="1" t="n"/>
      <c r="E217" s="1" t="n"/>
      <c r="F217" s="4" t="n"/>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22">
      <c r="A218" s="1" t="n"/>
      <c r="B218" s="1" t="n"/>
      <c r="C218" s="1" t="n"/>
      <c r="D218" s="1" t="n"/>
      <c r="E218" s="1" t="n"/>
      <c r="F218" s="4" t="n"/>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22">
      <c r="A219" s="1" t="n"/>
      <c r="B219" s="1" t="n"/>
      <c r="C219" s="1" t="n"/>
      <c r="D219" s="1" t="n"/>
      <c r="E219" s="1" t="n"/>
      <c r="F219" s="4" t="n"/>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22">
      <c r="A220" s="1" t="n"/>
      <c r="B220" s="1" t="n"/>
      <c r="C220" s="1" t="n"/>
      <c r="D220" s="1" t="n"/>
      <c r="E220" s="1" t="n"/>
      <c r="F220" s="4" t="n"/>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22">
      <c r="A221" s="1" t="n"/>
      <c r="B221" s="1" t="n"/>
      <c r="C221" s="1" t="n"/>
      <c r="D221" s="1" t="n"/>
      <c r="E221" s="1" t="n"/>
      <c r="F221" s="4" t="n"/>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22">
      <c r="A222" s="1" t="n"/>
      <c r="B222" s="1" t="n"/>
      <c r="C222" s="1" t="n"/>
      <c r="D222" s="1" t="n"/>
      <c r="E222" s="1" t="n"/>
      <c r="F222" s="4" t="n"/>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22">
      <c r="A223" s="1" t="n"/>
      <c r="B223" s="1" t="n"/>
      <c r="C223" s="1" t="n"/>
      <c r="D223" s="1" t="n"/>
      <c r="E223" s="1" t="n"/>
      <c r="F223" s="4" t="n"/>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22">
      <c r="A224" s="1" t="n"/>
      <c r="B224" s="1" t="n"/>
      <c r="C224" s="1" t="n"/>
      <c r="D224" s="1" t="n"/>
      <c r="E224" s="1" t="n"/>
      <c r="F224" s="4" t="n"/>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22">
      <c r="A225" s="1" t="n"/>
      <c r="B225" s="1" t="n"/>
      <c r="C225" s="1" t="n"/>
      <c r="D225" s="1" t="n"/>
      <c r="E225" s="1" t="n"/>
      <c r="F225" s="4" t="n"/>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22">
      <c r="A226" s="1" t="n"/>
      <c r="B226" s="1" t="n"/>
      <c r="C226" s="1" t="n"/>
      <c r="D226" s="1" t="n"/>
      <c r="E226" s="1"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22">
      <c r="A227" s="1" t="n"/>
      <c r="B227" s="1" t="n"/>
      <c r="C227" s="1" t="n"/>
      <c r="D227" s="1" t="n"/>
      <c r="E227" s="1" t="n"/>
      <c r="F227" s="4" t="n"/>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22">
      <c r="A228" s="1" t="n"/>
      <c r="B228" s="1" t="n"/>
      <c r="C228" s="1" t="n"/>
      <c r="D228" s="1" t="n"/>
      <c r="E228" s="1" t="n"/>
      <c r="F228" s="4" t="n"/>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22">
      <c r="A229" s="1" t="n"/>
      <c r="B229" s="1" t="n"/>
      <c r="C229" s="1" t="n"/>
      <c r="D229" s="1" t="n"/>
      <c r="E229" s="1"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22">
      <c r="A230" s="1" t="n"/>
      <c r="B230" s="1" t="n"/>
      <c r="C230" s="1" t="n"/>
      <c r="D230" s="1" t="n"/>
      <c r="E230" s="1"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22">
      <c r="A231" s="1" t="n"/>
      <c r="B231" s="1" t="n"/>
      <c r="C231" s="1" t="n"/>
      <c r="D231" s="1" t="n"/>
      <c r="E231" s="1"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22">
      <c r="A232" s="1" t="n"/>
      <c r="B232" s="1" t="n"/>
      <c r="C232" s="1" t="n"/>
      <c r="D232" s="1" t="n"/>
      <c r="E232" s="1"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22">
      <c r="A233" s="1" t="n"/>
      <c r="B233" s="1" t="n"/>
      <c r="C233" s="1" t="n"/>
      <c r="D233" s="1" t="n"/>
      <c r="E233" s="1"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22">
      <c r="A234" s="1" t="n"/>
      <c r="B234" s="1" t="n"/>
      <c r="C234" s="1" t="n"/>
      <c r="D234" s="1" t="n"/>
      <c r="E234" s="1" t="n"/>
      <c r="F234" s="4" t="n"/>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22">
      <c r="A235" s="1" t="n"/>
      <c r="B235" s="1" t="n"/>
      <c r="C235" s="1" t="n"/>
      <c r="D235" s="1" t="n"/>
      <c r="E235" s="1" t="n"/>
      <c r="F235" s="4" t="n"/>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22">
      <c r="A236" s="4" t="n"/>
      <c r="B236" s="4" t="n"/>
      <c r="C236" s="4" t="n"/>
      <c r="D236" s="4" t="n"/>
      <c r="E236" s="4" t="n"/>
      <c r="F236" s="4" t="n"/>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22">
      <c r="A237" s="4" t="n"/>
      <c r="B237" s="4" t="n"/>
      <c r="C237" s="4" t="n"/>
      <c r="D237" s="4" t="n"/>
      <c r="E237" s="4" t="n"/>
      <c r="F237" s="4" t="n"/>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22">
      <c r="A238" s="4" t="n"/>
      <c r="B238" s="4" t="n"/>
      <c r="C238" s="4" t="n"/>
      <c r="D238" s="4" t="n"/>
      <c r="E238" s="4" t="n"/>
      <c r="F238" s="4" t="n"/>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22">
      <c r="A239" s="4" t="n"/>
      <c r="B239" s="4" t="n"/>
      <c r="C239" s="4" t="n"/>
      <c r="D239" s="4" t="n"/>
      <c r="E239" s="4" t="n"/>
      <c r="F239" s="4" t="n"/>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22">
      <c r="A240" s="4" t="n"/>
      <c r="B240" s="4" t="n"/>
      <c r="C240" s="4" t="n"/>
      <c r="D240" s="4" t="n"/>
      <c r="E240" s="4" t="n"/>
      <c r="F240" s="4" t="n"/>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22">
      <c r="A241" s="4" t="n"/>
      <c r="B241" s="4" t="n"/>
      <c r="C241" s="4" t="n"/>
      <c r="D241" s="4" t="n"/>
      <c r="E241" s="4" t="n"/>
      <c r="F241" s="4" t="n"/>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22">
      <c r="A242" s="4" t="n"/>
      <c r="B242" s="4" t="n"/>
      <c r="C242" s="4" t="n"/>
      <c r="D242" s="4" t="n"/>
      <c r="E242" s="4" t="n"/>
      <c r="F242" s="4" t="n"/>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22">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22">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22">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22">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22">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22">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22">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22">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22">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22">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22">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22">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22">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22">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22">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22">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22">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22">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22">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22">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22">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22">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22">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22">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22">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22">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22">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22">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22">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22">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22">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22">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22">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22">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22">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22">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22">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22">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22">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22">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22">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22">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22">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22">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22">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22">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22">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22">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22">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22">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22">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22">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22">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22">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22">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22">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22">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22">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22">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22">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22">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22">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22">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22">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22">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22">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22">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22">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22">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22">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22">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22">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22">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22">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22">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22">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22">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22">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22">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22">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22">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22">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22">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22">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22">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22">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22">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22">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22">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22">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22">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22">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22">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22">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22">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22">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22">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22">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22">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22">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22">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22">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22">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22">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22">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22">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22">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22">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22">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22">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22">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22">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22">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22">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22">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22">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22">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22">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22">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22">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22">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22">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22">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22">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22">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22">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22">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22">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22">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22">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22">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22">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22">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22">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22">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22">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22">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22">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22">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22">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22">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22">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22">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22">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22">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22">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22">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22">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22">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22">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22">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22">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22">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22">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22">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22">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22">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22">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22">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22">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22">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22">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22">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22">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22">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22">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22">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22">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22">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22">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22">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22">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22">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22">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22">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22">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22">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22">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22">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22">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22">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22">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22">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22">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22">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22">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22">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22">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22">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22">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22">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22">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22">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22">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22">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22">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22">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22">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22">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22">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22">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22">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22">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22">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22">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22">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22">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22">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22">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22">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22">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22">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22">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22">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22">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22">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22">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22">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22">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22">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22">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22">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22">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22">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22">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22">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22">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22">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22">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22">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22">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22">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22">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22">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22">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22">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22">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22">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22">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22">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22">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22">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22">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22">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22">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22">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22">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22">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22">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22">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22">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22">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22">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22">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22">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22">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22">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22">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22">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22">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22">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22">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22">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22">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22">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22">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22">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22">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22">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22">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22">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22">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22">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22">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22">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22">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22">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22">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22">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22">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22">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22">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22">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22">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22">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22">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22">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22">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22">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22">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22">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22">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22">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22">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22">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22">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22">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22">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22">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22">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22">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22">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22">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22">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22">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22">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22">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22">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22">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22">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22">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22">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22">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22">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22">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22">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22">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22">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22">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22">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22">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22">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22">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22">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22">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22">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22">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22">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22">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22">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22">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22">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22">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22">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22">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22">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22">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22">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22">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22">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22">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22">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22">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22">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22">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22">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22">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22">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22">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22">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22">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22">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22">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22">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22">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22">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22">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22">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22">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22">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22">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22">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22">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22">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22">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22">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22">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22">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22">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22">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22">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22">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22">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22">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22">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22">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22">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22">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22">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22">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22">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22">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22">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22">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22">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22">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22">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22">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22">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22">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22">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22">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22">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22">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22">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22">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22">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22">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22">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22">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22">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22">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22">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22">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22">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22">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22">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22">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22">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22">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22">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22">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22">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22">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22">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22">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22">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22">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22">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22">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22">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22">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22">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22">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22">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22">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22">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22">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22">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22">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22">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22">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22">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22">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22">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22">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22">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22">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22">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22">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22">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22">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22">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22">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22">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22">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22">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22">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22">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22">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22">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22">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22">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22">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22">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22">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22">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22">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22">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22">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22">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22">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22">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22">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22">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22">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22">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22">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22">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22">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22">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22">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22">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22">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22">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22">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22">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22">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22">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22">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22">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22">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22">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22">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22">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22">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22">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22">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22">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22">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22">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22">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22">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22">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22">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22">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22">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22">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22">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22">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22">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22">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22">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22">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22">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22">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22">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22">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22">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22">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22">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22">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22">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22">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22">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22">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22">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22">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22">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22">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22">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22">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22">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22">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22">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22">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22">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22">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22">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22">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22">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22">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22">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22">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22">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22">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22">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22">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22">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22">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22">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22">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22">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22">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22">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22">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22">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22">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22">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22">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22">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22">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22">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22">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22">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22">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22">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22">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22">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22">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22">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22">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22">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22">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22">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22">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22">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22">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22">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22">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22">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22">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22">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22">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22">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22">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22">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22">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22">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22">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22">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22">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22">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22">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22">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22">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22">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22">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22">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22">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22">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22">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22">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22">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22">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22">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22">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22">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22">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22">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22">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22">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22">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22">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22">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22">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22">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22">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22">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22">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22">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22">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22">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22">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22">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22">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22">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22">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22">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22">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22">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22">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22">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22">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22">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22">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22">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22">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22">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22">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22">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22">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22">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22">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22">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22">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22">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22">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22">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22">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22">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22">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22">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22">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22">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22">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22">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22">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22">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22">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22">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22">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22">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22">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22">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22">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22">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22">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22">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22">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22">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22">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22">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22">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22">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22">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22">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22">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22">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22">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22">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22">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22">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22">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22">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22">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22">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22">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22">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22">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22">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22">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22">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22">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22">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22">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22">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22">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22">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22">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22">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22">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22">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22">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22">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22">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22">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22">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22">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22">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22">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22">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22">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22">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22">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22">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22">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22">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22">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22">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22">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22">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22">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22">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22">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22">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22">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22">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22">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22">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22">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22">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22">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22">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22">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22">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22">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22">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22">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22">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22">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22">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22">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22">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22">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22">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22">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22">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22">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22">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22">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22">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22">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22">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22">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22">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22">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22">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22">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22">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22">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22">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22">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22">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22">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22">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22">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22">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4" t="n"/>
      <c r="B1001" s="4" t="n"/>
      <c r="C1001" s="4" t="n"/>
      <c r="D1001" s="4" t="n"/>
      <c r="E1001" s="4" t="n"/>
      <c r="F1001" s="4" t="n"/>
      <c r="G1001" s="4" t="n"/>
      <c r="H1001" s="4" t="n"/>
      <c r="I1001" s="4" t="n"/>
      <c r="J1001" s="4" t="n"/>
      <c r="K1001" s="4" t="n"/>
      <c r="L1001" s="4" t="n"/>
      <c r="M1001" s="4" t="n"/>
      <c r="N1001" s="4" t="n"/>
      <c r="O1001" s="4" t="n"/>
      <c r="P1001" s="4" t="n"/>
      <c r="Q1001" s="4" t="n"/>
      <c r="R1001" s="4" t="n"/>
      <c r="S1001" s="4" t="n"/>
      <c r="T1001" s="4" t="n"/>
      <c r="U1001" s="4" t="n"/>
      <c r="V1001" s="4" t="n"/>
      <c r="W1001" s="4" t="n"/>
      <c r="X1001" s="4" t="n"/>
      <c r="Y1001" s="4" t="n"/>
      <c r="Z1001" s="4" t="n"/>
    </row>
    <row r="1002">
      <c r="A1002" s="4" t="n"/>
      <c r="B1002" s="4" t="n"/>
      <c r="C1002" s="4" t="n"/>
      <c r="D1002" s="4" t="n"/>
      <c r="E1002" s="4" t="n"/>
      <c r="F1002" s="4" t="n"/>
      <c r="G1002" s="4" t="n"/>
      <c r="H1002" s="4" t="n"/>
      <c r="I1002" s="4" t="n"/>
      <c r="J1002" s="4" t="n"/>
      <c r="K1002" s="4" t="n"/>
      <c r="L1002" s="4" t="n"/>
      <c r="M1002" s="4" t="n"/>
      <c r="N1002" s="4" t="n"/>
      <c r="O1002" s="4" t="n"/>
      <c r="P1002" s="4" t="n"/>
      <c r="Q1002" s="4" t="n"/>
      <c r="R1002" s="4" t="n"/>
      <c r="S1002" s="4" t="n"/>
      <c r="T1002" s="4" t="n"/>
      <c r="U1002" s="4" t="n"/>
      <c r="V1002" s="4" t="n"/>
      <c r="W1002" s="4" t="n"/>
      <c r="X1002" s="4" t="n"/>
      <c r="Y1002" s="4" t="n"/>
      <c r="Z1002" s="4" t="n"/>
    </row>
    <row r="1003">
      <c r="A1003" s="4" t="n"/>
      <c r="B1003" s="4" t="n"/>
      <c r="C1003" s="4" t="n"/>
      <c r="D1003" s="4" t="n"/>
      <c r="E1003" s="4" t="n"/>
      <c r="F1003" s="4" t="n"/>
      <c r="G1003" s="4" t="n"/>
      <c r="H1003" s="4" t="n"/>
      <c r="I1003" s="4" t="n"/>
      <c r="J1003" s="4" t="n"/>
      <c r="K1003" s="4" t="n"/>
      <c r="L1003" s="4" t="n"/>
      <c r="M1003" s="4" t="n"/>
      <c r="N1003" s="4" t="n"/>
      <c r="O1003" s="4" t="n"/>
      <c r="P1003" s="4" t="n"/>
      <c r="Q1003" s="4" t="n"/>
      <c r="R1003" s="4" t="n"/>
      <c r="S1003" s="4" t="n"/>
      <c r="T1003" s="4" t="n"/>
      <c r="U1003" s="4" t="n"/>
      <c r="V1003" s="4" t="n"/>
      <c r="W1003" s="4" t="n"/>
      <c r="X1003" s="4" t="n"/>
      <c r="Y1003" s="4" t="n"/>
      <c r="Z1003" s="4" t="n"/>
    </row>
  </sheetData>
  <mergeCells count="7">
    <mergeCell ref="B9:E9"/>
    <mergeCell ref="B8:E8"/>
    <mergeCell ref="B35:E35"/>
    <mergeCell ref="B6:E6"/>
    <mergeCell ref="B7:E7"/>
    <mergeCell ref="B5:E5"/>
    <mergeCell ref="B34:E34"/>
  </mergeCells>
  <pageMargins left="0.75" right="0.75" top="1" bottom="1" header="0" footer="0"/>
  <pageSetup orientation="landscape" paperSize="9" fitToHeight="0"/>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2026-10-01T19:42:56Z</dcterms:created>
  <dcterms:modified xmlns:dcterms="http://purl.org/dc/terms/" xmlns:xsi="http://www.w3.org/2001/XMLSchema-instance" xsi:type="dcterms:W3CDTF">2026-10-18T20:31:58Z</dcterms:modified>
</cp:coreProperties>
</file>