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EDT jerárquica" sheetId="2" r:id="rId5"/>
    <sheet state="visible" name="Diccionario EDT" sheetId="3" r:id="rId6"/>
    <sheet state="visible" name="Regla del 100%" sheetId="4" r:id="rId7"/>
    <sheet state="visible" name="Control de versiones" sheetId="5" r:id="rId8"/>
  </sheets>
  <definedNames/>
  <calcPr/>
  <extLst>
    <ext uri="GoogleSheetsCustomDataVersion2">
      <go:sheetsCustomData xmlns:go="http://customooxmlschemas.google.com/" r:id="rId9" roundtripDataChecksum="bh7QSKwcegECkckSf0Fl2WnA1B3aiFi3kpuInbCsjtQ="/>
    </ext>
  </extLst>
</workbook>
</file>

<file path=xl/sharedStrings.xml><?xml version="1.0" encoding="utf-8"?>
<sst xmlns="http://schemas.openxmlformats.org/spreadsheetml/2006/main" count="781" uniqueCount="422">
  <si>
    <t>EDT jerárquica</t>
  </si>
  <si>
    <t>Verificación de la regla del 100%</t>
  </si>
  <si>
    <t>Código</t>
  </si>
  <si>
    <t>Nivel</t>
  </si>
  <si>
    <t>Componente</t>
  </si>
  <si>
    <t>Tipo</t>
  </si>
  <si>
    <t>Fase</t>
  </si>
  <si>
    <t>1</t>
  </si>
  <si>
    <t>Diccionario de la EDT</t>
  </si>
  <si>
    <t>Estructura de Desglose del Trabajo (EDT / WBS)</t>
  </si>
  <si>
    <t>Componente del alcance</t>
  </si>
  <si>
    <t>Comprometido</t>
  </si>
  <si>
    <t>Cubierto en EDT</t>
  </si>
  <si>
    <t>App móvil Aprueba - Módulo de Preguntas</t>
  </si>
  <si>
    <t>APP MÓVIL APRUEBA - MÓDULO DE PREGUNTAS</t>
  </si>
  <si>
    <t>Cobertura</t>
  </si>
  <si>
    <t>Estado</t>
  </si>
  <si>
    <t>Pantallas del módulo</t>
  </si>
  <si>
    <t>Proyecto</t>
  </si>
  <si>
    <t>Paquete de trabajo</t>
  </si>
  <si>
    <t>Descripción</t>
  </si>
  <si>
    <t>Entregable verificable</t>
  </si>
  <si>
    <t>Asignatura</t>
  </si>
  <si>
    <t>Historias</t>
  </si>
  <si>
    <t>—</t>
  </si>
  <si>
    <t>Responsable</t>
  </si>
  <si>
    <t>Iteración / semana</t>
  </si>
  <si>
    <t>1.3.4.1 a 1.3.4.6, un paquete por pantalla</t>
  </si>
  <si>
    <t>1.1</t>
  </si>
  <si>
    <t>1.1 Gestión del proyecto</t>
  </si>
  <si>
    <t>PTY4614 Capstone · Sección CAPSTONE_002D · Grupo 9</t>
  </si>
  <si>
    <t>Institución</t>
  </si>
  <si>
    <t>Escuela de Informática y Telecomunicaciones · Duoc UC Sede San Bernardo</t>
  </si>
  <si>
    <t>Empresa contraparte</t>
  </si>
  <si>
    <t>Alloxentric, vinculada mediante la Incubadora Duoc UC San Bernardo</t>
  </si>
  <si>
    <t>Equipo</t>
  </si>
  <si>
    <t>Gestión del proyecto</t>
  </si>
  <si>
    <t>Martin Espinoza Morales · Sebastián Acevedo Araya · Jeremías Fernández Millacura</t>
  </si>
  <si>
    <t>Profesora guía</t>
  </si>
  <si>
    <t>Eliana Mallen González</t>
  </si>
  <si>
    <t>Metodología</t>
  </si>
  <si>
    <t>1.1.1</t>
  </si>
  <si>
    <t>Extreme Programming. Diez iteraciones semanales agrupadas en tres entregas funcionales.</t>
  </si>
  <si>
    <t>Transversal</t>
  </si>
  <si>
    <t>Versión y fecha</t>
  </si>
  <si>
    <t>Plan de gestión y tablero de trabajo</t>
  </si>
  <si>
    <t xml:space="preserve">Versión 3.3 · 15 de octubre de 2026</t>
  </si>
  <si>
    <t>Configuración y mantención del tablero con el flujo de trabajo del equipo y control del avance de cada iteración.</t>
  </si>
  <si>
    <t>Documentos relacionados</t>
  </si>
  <si>
    <t>Tablero actualizado con tarjetas, responsables y fechas</t>
  </si>
  <si>
    <t>Product Backlog · Plan de entregas y planes de iteración · Registro de interesados · Carta Gantt · Guía 1.5 de definición del Proyecto APT</t>
  </si>
  <si>
    <t>Martin Espinoza</t>
  </si>
  <si>
    <t>S1–S18</t>
  </si>
  <si>
    <t>Propósito</t>
  </si>
  <si>
    <t>Servicios REST</t>
  </si>
  <si>
    <t>1.1.2</t>
  </si>
  <si>
    <t>Prácticas y ceremonias XP</t>
  </si>
  <si>
    <t>Juego de planificación al inicio de cada iteración, reunión de pie diaria y validación de cada entrega funcional con el cliente.</t>
  </si>
  <si>
    <t>Los trece del contrato: 1.3.3.1 (5) + 1.3.3.2 (2) + 1.3.3.3 (2) + 1.3.3.4 (4). Más GET /me, incorporado como ajuste de alcance en 1.3.5.1 (HT-07).</t>
  </si>
  <si>
    <t>Registro de planificaciones y validaciones</t>
  </si>
  <si>
    <t>Iteraciones 1–10 (S5–S14)</t>
  </si>
  <si>
    <t>La EDT descompone el alcance total del proyecto en componentes progresivamente más pequeños hasta el nivel de paquete de trabajo, con el fin de delimitar de forma verificable qué se entrega, asignar responsabilidad sobre cada componente y servir de base para el cronograma y el control del avance.</t>
  </si>
  <si>
    <t>1.1.3</t>
  </si>
  <si>
    <t>Historias planificadas del Product Backlog</t>
  </si>
  <si>
    <t>Registro de supuestos y decisiones</t>
  </si>
  <si>
    <t>Bitácora de las decisiones adoptadas sin confirmación del cliente, con su fundamento y su impacto si resultara equivocada, y bitácora de decisiones de diseño. Es la mitigación declarada de la práctica de cliente en sitio.</t>
  </si>
  <si>
    <t>Historias de usuario e historias técnicas asociadas a paquetes de 1.3.</t>
  </si>
  <si>
    <t>Bitácoras actualizadas con supuestos y decisiones vigentes</t>
  </si>
  <si>
    <t>Equipo completo</t>
  </si>
  <si>
    <t>1.1.4</t>
  </si>
  <si>
    <t>Restricciones técnicas</t>
  </si>
  <si>
    <t>Evidencias académicas individuales</t>
  </si>
  <si>
    <t>Autoevaluación, diario de reflexión y evaluación formativa de cada integrante, por fase.</t>
  </si>
  <si>
    <t>RT-02 y RT-03 en 1.3.6; RT-01 y RT-04 son transversales y se verifican mediante los criterios de terminado (1.2.2.7)</t>
  </si>
  <si>
    <t>Evidencias individuales entregadas en AVA y en el repositorio</t>
  </si>
  <si>
    <t>Criterios de descomposición</t>
  </si>
  <si>
    <t>Cada integrante</t>
  </si>
  <si>
    <t>Por fase</t>
  </si>
  <si>
    <t>Entregables de Fase 1</t>
  </si>
  <si>
    <t>1.1.5</t>
  </si>
  <si>
    <t>Planes de iteración y registro de velocidad</t>
  </si>
  <si>
    <t>1.2.1 a 1.2.4, un paquete por entregable de la fase</t>
  </si>
  <si>
    <t>Plan de cada iteración con las historias comprometidas, sus tareas, responsables y estado, y registro de los puntos terminados. Equivale al Sprint Backlog.</t>
  </si>
  <si>
    <t>Plan por iteración y velocidad registrada al cierre</t>
  </si>
  <si>
    <t>Historias del Product Backlog</t>
  </si>
  <si>
    <t>Artefactos de Extreme Programming</t>
  </si>
  <si>
    <t>Orientación a entregables</t>
  </si>
  <si>
    <t>1.1.6</t>
  </si>
  <si>
    <t>Product Backlog (1.2.2.3), plan de entregas (1.2.2.5), criterios de terminado (1.2.2.7), planes de iteración (1.1.5), reflexiones de cierre (1.1.6) y pruebas de aceptación (1.3.6.5)</t>
  </si>
  <si>
    <t>Reflexiones de cierre de iteración</t>
  </si>
  <si>
    <t>Reflexión del equipo al cierre de cada iteración: resultado obtenido, qué funcionó, qué no y ajuste acordado para la siguiente. Equivale a la retrospectiva.</t>
  </si>
  <si>
    <t>Registro de cierre de cada iteración</t>
  </si>
  <si>
    <t>Se descomponen productos y resultados verificables, no actividades. Las actividades se derivan de los paquetes y se gestionan en los planes de iteración y en el cronograma.</t>
  </si>
  <si>
    <t>Iteraciones de desarrollo</t>
  </si>
  <si>
    <t>Regla del 100%</t>
  </si>
  <si>
    <t>Iteraciones 1 a 10 (S5 a S14), cubiertas por los paquetes de 1.3 y por 1.1.5 y 1.1.6</t>
  </si>
  <si>
    <t>Cada nivel representa la totalidad del trabajo de su nivel superior: no se omite trabajo comprometido ni se incorpora trabajo fuera del alcance. Se verifica en la hoja correspondiente.</t>
  </si>
  <si>
    <t>Hitos académicos de Fases 2 y 3</t>
  </si>
  <si>
    <t>1.2 Definición del proyecto (Fase 1)</t>
  </si>
  <si>
    <t>1.3.8.1 a 1.3.8.4 y 1.4.2 a 1.4.5</t>
  </si>
  <si>
    <t>Criterio de agrupación</t>
  </si>
  <si>
    <t>El primer nivel combina un componente transversal de gestión con las tres fases académicas. Dentro del desarrollo, la descomposición sigue la arquitectura: servicios por grupo funcional y pantallas de forma individual, porque cada pantalla es un incremento demostrable.</t>
  </si>
  <si>
    <t>Resultado de la verificación</t>
  </si>
  <si>
    <t>Artefactos de la metodología</t>
  </si>
  <si>
    <t>Los artefactos propios de Extreme Programming se incorporan como paquetes: plan de entregas, planes de iteración, reflexiones de cierre, criterios de terminado y pruebas de aceptación.</t>
  </si>
  <si>
    <t>1.2.1.1</t>
  </si>
  <si>
    <t>Nivel de detalle</t>
  </si>
  <si>
    <t>Product Vision Statement</t>
  </si>
  <si>
    <t>Se llega al paquete de trabajo: el componente de menor nivel al que se asigna un responsable y un resultado verificable.</t>
  </si>
  <si>
    <t>Declaración de visión del producto con grupo objetivo, necesidades, propuesta de valor, diferenciadores y objetivos.</t>
  </si>
  <si>
    <t>1.2</t>
  </si>
  <si>
    <t>Documento aprobado</t>
  </si>
  <si>
    <t>Definición del proyecto</t>
  </si>
  <si>
    <t>S1–S4</t>
  </si>
  <si>
    <t>Fase 1</t>
  </si>
  <si>
    <t>1.2.1.2</t>
  </si>
  <si>
    <t>Registro de interesados</t>
  </si>
  <si>
    <t>Identificación de interesados con su rol, interés, influencia, expectativa y estrategia de gestión según la matriz poder-interés.</t>
  </si>
  <si>
    <t>1.2.1</t>
  </si>
  <si>
    <t>S2–S4</t>
  </si>
  <si>
    <t>1.2.2.1</t>
  </si>
  <si>
    <t>Enunciado de Alcance Preliminar</t>
  </si>
  <si>
    <t>Delimitación del producto: entregables incluidos, exclusiones explícitas, criterios de aceptación, supuestos y restricciones.</t>
  </si>
  <si>
    <t>Jeremías Fernández</t>
  </si>
  <si>
    <t>Documentos de inicio</t>
  </si>
  <si>
    <t>1.2.2.2</t>
  </si>
  <si>
    <t>Subcomponente</t>
  </si>
  <si>
    <t>EDT y diccionario</t>
  </si>
  <si>
    <t>Descomposición jerárquica del alcance hasta el nivel de paquete de trabajo, con su diccionario asociado.</t>
  </si>
  <si>
    <t>Este documento</t>
  </si>
  <si>
    <t>1.2.2.3</t>
  </si>
  <si>
    <t>Product Backlog (lista de producto)</t>
  </si>
  <si>
    <t>Lista completa del producto organizada en épicas, características, historias y tareas, priorizada por valor para el cliente y estimada en puntos.</t>
  </si>
  <si>
    <t>Product Backlog vigente</t>
  </si>
  <si>
    <t>HU, HT y RT</t>
  </si>
  <si>
    <t>Elementos excluidos de la EDT</t>
  </si>
  <si>
    <t>S2–S4, actualizado por iteración</t>
  </si>
  <si>
    <t>1.2.2.4</t>
  </si>
  <si>
    <t>Requisitos no funcionales</t>
  </si>
  <si>
    <t>1.2.2</t>
  </si>
  <si>
    <t>Requisitos de seguridad, rendimiento, disponibilidad, portabilidad, compatibilidad, mantenibilidad, escalabilidad y usabilidad, con su condición de verificación.</t>
  </si>
  <si>
    <t>Pantallas ajenas al módulo</t>
  </si>
  <si>
    <t>Planificación del alcance</t>
  </si>
  <si>
    <t>Documento de requisitos no funcionales</t>
  </si>
  <si>
    <t>RT-01 a RT-04</t>
  </si>
  <si>
    <t>Incorporación inicial, inicio, medallas y canjes, regalos, beneficios, grupos, comunidad, tutores, muro de pago, suscripción, ajustes y notificaciones.</t>
  </si>
  <si>
    <t>1.2.2.5</t>
  </si>
  <si>
    <t>Plan de entregas</t>
  </si>
  <si>
    <t>Agrupación de las diez iteraciones en tres entregas funcionales, con su objetivo, historias, fechas y demostración al cliente.</t>
  </si>
  <si>
    <t>Registro y restablecimiento de contraseña</t>
  </si>
  <si>
    <t>Fuera del alcance del módulo: los resuelve Firebase Authentication. El módulo solo requiere el identificador del alumno autenticado para operar la API.</t>
  </si>
  <si>
    <t>S4, actualizado en S7</t>
  </si>
  <si>
    <t>1.2.2.6</t>
  </si>
  <si>
    <t>Cronograma (carta Gantt)</t>
  </si>
  <si>
    <t>Programación de las actividades en las dieciocho semanas del semestre, con los hitos de la asignatura y de la empresa.</t>
  </si>
  <si>
    <t>Carta Gantt</t>
  </si>
  <si>
    <t>Componentes de otros equipos</t>
  </si>
  <si>
    <t>Consola web de administración, generador de preguntas, sitio web del alumno y sitio de aterrizaje.</t>
  </si>
  <si>
    <t>S2–S4, actualizada en S7</t>
  </si>
  <si>
    <t>1.2.2.7</t>
  </si>
  <si>
    <t>Criterios de terminado</t>
  </si>
  <si>
    <t>Condiciones que debe cumplir una historia para considerarse terminada. Equivale a la Definition of Done.</t>
  </si>
  <si>
    <t>Integraciones no intervenidas</t>
  </si>
  <si>
    <t>Pasarela de pago, inicio de sesión social y notificaciones push.</t>
  </si>
  <si>
    <t>S4</t>
  </si>
  <si>
    <t>1.2.3.1</t>
  </si>
  <si>
    <t>Definición de tecnologías</t>
  </si>
  <si>
    <t>Selección y justificación del stack tecnológico de la aplicación, del backend y de las herramientas de trabajo.</t>
  </si>
  <si>
    <t>Sección de tecnologías documentada</t>
  </si>
  <si>
    <t>Generación de contenido</t>
  </si>
  <si>
    <t>El banco de preguntas y sus explicaciones son insumo de la empresa contraparte.</t>
  </si>
  <si>
    <t>1.2.3</t>
  </si>
  <si>
    <t>1.2.3.2</t>
  </si>
  <si>
    <t>Diagrama de arquitectura</t>
  </si>
  <si>
    <t>Definición técnica</t>
  </si>
  <si>
    <t>Representación de las capas de la solución, el flujo de datos, la autenticación y las dependencias externas.</t>
  </si>
  <si>
    <t>S3–S4, actualizado en S7</t>
  </si>
  <si>
    <t>Caso particular: inicio de sesión</t>
  </si>
  <si>
    <t>El inicio de sesión estaba excluido del alcance y se incorporó en el paquete 1.3.5.1 por autorización del cliente, al adoptarse Firebase Authentication.</t>
  </si>
  <si>
    <t>1.2.3.3</t>
  </si>
  <si>
    <t>Repositorio configurado</t>
  </si>
  <si>
    <t>Repositorios con estructura del proyecto, archivo descriptivo, convenciones de control de versiones y control de acceso.</t>
  </si>
  <si>
    <t>Repositorios operativos con enlace</t>
  </si>
  <si>
    <t>1.2.4.1</t>
  </si>
  <si>
    <t>Guía de definición del Proyecto APT (1.5)</t>
  </si>
  <si>
    <t>Documento de definición del proyecto según la guía de la asignatura: fundamentación, objetivos, alcance, metodología, evidencias, plan de trabajo y cronograma.</t>
  </si>
  <si>
    <t>Guía 1.5 entregada</t>
  </si>
  <si>
    <t>1.2.4</t>
  </si>
  <si>
    <t>Entrega de fase</t>
  </si>
  <si>
    <t>1.2.4.2</t>
  </si>
  <si>
    <t>Exposición de Fase 1</t>
  </si>
  <si>
    <t>Presentación de la propuesta de proyecto ante la profesora guía.</t>
  </si>
  <si>
    <t>Presentación realizada</t>
  </si>
  <si>
    <t>S5</t>
  </si>
  <si>
    <t>1.3 Desarrollo del módulo (Fase 2)</t>
  </si>
  <si>
    <t>1.3</t>
  </si>
  <si>
    <t>Desarrollo del módulo</t>
  </si>
  <si>
    <t>Fase 2</t>
  </si>
  <si>
    <t>1.3.1</t>
  </si>
  <si>
    <t>Habilitación técnica</t>
  </si>
  <si>
    <t>1.3.1.1</t>
  </si>
  <si>
    <t>Entorno de desarrollo móvil</t>
  </si>
  <si>
    <t>Instalación del kit de desarrollo, generación de las carpetas nativas y del código de persistencia, y puesta en marcha de la aplicación en los equipos de los tres integrantes.</t>
  </si>
  <si>
    <t>Aplicación ejecutándose en los tres equipos</t>
  </si>
  <si>
    <t>HT-06</t>
  </si>
  <si>
    <t>Iteraciones 1 y 4 (S5, S8)</t>
  </si>
  <si>
    <t>1.3.1.2</t>
  </si>
  <si>
    <t>Entorno de backend y base de datos</t>
  </si>
  <si>
    <t>Estructura base del backend en Python con FastAPI, siguiendo las convenciones de la consola de administración, con emulador de Firestore para desarrollo.</t>
  </si>
  <si>
    <t>Backend respondiendo con la estructura común de respuesta</t>
  </si>
  <si>
    <t>1.3.1.3</t>
  </si>
  <si>
    <t>HT-02</t>
  </si>
  <si>
    <t>Despliegue de la aplicación web y de la API</t>
  </si>
  <si>
    <t>Iteraciones 1 y 3 (S5, S7)</t>
  </si>
  <si>
    <t>1.3.2</t>
  </si>
  <si>
    <t>Publicación de la compilación web y de la API en proyectos separados, con variables de entorno y sin secretos versionados.</t>
  </si>
  <si>
    <t>Modelo de datos y contratos</t>
  </si>
  <si>
    <t>Aplicación web y API accesibles desde un enlace</t>
  </si>
  <si>
    <t>HT-01</t>
  </si>
  <si>
    <t>Iteración 1 (S5)</t>
  </si>
  <si>
    <t>1.3.2.1</t>
  </si>
  <si>
    <t>Modelo de datos en Firestore</t>
  </si>
  <si>
    <t>Colecciones del módulo, campos, índices y reglas de seguridad, alineados con la consola de administración de la empresa.</t>
  </si>
  <si>
    <t>Colecciones, índices y reglas desplegados</t>
  </si>
  <si>
    <t>1.3.2.2</t>
  </si>
  <si>
    <t>HU-20</t>
  </si>
  <si>
    <t>Esquema de persistencia local</t>
  </si>
  <si>
    <t>Iteraciones 2–3 (S6–S7)</t>
  </si>
  <si>
    <t>1.3.2.3</t>
  </si>
  <si>
    <t>Tablas locales de caché de preguntas, registro de respuestas y preferencias.</t>
  </si>
  <si>
    <t>Modelos de dominio del cliente</t>
  </si>
  <si>
    <t>Esquema local generado y versionado</t>
  </si>
  <si>
    <t>Sebastián Acevedo</t>
  </si>
  <si>
    <t>Iteración 2 (S6)</t>
  </si>
  <si>
    <t>1.3.3</t>
  </si>
  <si>
    <t>Clases del modelo lógico de la API, con sus pruebas unitarias de serialización.</t>
  </si>
  <si>
    <t>1.3.3.1</t>
  </si>
  <si>
    <t>Modelos con pruebas aprobadas</t>
  </si>
  <si>
    <t>Servicios de práctica (5 servicios)</t>
  </si>
  <si>
    <t>1.3.3.2</t>
  </si>
  <si>
    <t>Servicios de cuota (2 servicios)</t>
  </si>
  <si>
    <t>Entrega de la siguiente pregunta, consulta por identificador, registro de respuesta, explicación detallada y habilidad asociada, con el percentil de cohorte precalculado. La alternativa correcta no se expone antes de responder.</t>
  </si>
  <si>
    <t>Cinco servicios operativos según contrato</t>
  </si>
  <si>
    <t>HU-01, HU-03, HU-05, HU-06, HT-04</t>
  </si>
  <si>
    <t>1.3.3.3</t>
  </si>
  <si>
    <t>Iteraciones 3–6 (S7–S10)</t>
  </si>
  <si>
    <t>Servicios de recorrección (2 servicios)</t>
  </si>
  <si>
    <t>1.3.3.4</t>
  </si>
  <si>
    <t>Consulta de la cuota diaria y desbloqueo de cuota adicional mediante declaración de datos, con su lógica escalonada.</t>
  </si>
  <si>
    <t>Servicios de configuración (4 servicios)</t>
  </si>
  <si>
    <t>Dos servicios operativos</t>
  </si>
  <si>
    <t>HU-07, HU-08</t>
  </si>
  <si>
    <t>Iteración 7 (S11)</t>
  </si>
  <si>
    <t>1.3.4</t>
  </si>
  <si>
    <t>Pantallas de la aplicación</t>
  </si>
  <si>
    <t>Creación de solicitudes de revisión compatibles con la consola de administración y consulta de las solicitudes propias.</t>
  </si>
  <si>
    <t>1.3.4.1</t>
  </si>
  <si>
    <t>HU-09, HU-10</t>
  </si>
  <si>
    <t>Pantalla Pregunta</t>
  </si>
  <si>
    <t>Iteración 8 (S12)</t>
  </si>
  <si>
    <t>Catálogo de pruebas, consulta y actualización de preferencias, y progreso por prueba.</t>
  </si>
  <si>
    <t>1.3.4.2</t>
  </si>
  <si>
    <t>Cuatro servicios operativos</t>
  </si>
  <si>
    <t>HU-11, HU-12, HU-13</t>
  </si>
  <si>
    <t>Pantalla Resultado</t>
  </si>
  <si>
    <t>Iteraciones 3 y 9 (S7, S13)</t>
  </si>
  <si>
    <t>1.3.4.3</t>
  </si>
  <si>
    <t>Pantalla Explicación detallada</t>
  </si>
  <si>
    <t>Enunciado, alternativas, progreso y cronómetro, con descuento de la cuota diaria.</t>
  </si>
  <si>
    <t>Pantalla navegable e integrada</t>
  </si>
  <si>
    <t>HU-02</t>
  </si>
  <si>
    <t>1.3.4.4</t>
  </si>
  <si>
    <t>Iteración 3 (S7)</t>
  </si>
  <si>
    <t>Pantalla Habilidad</t>
  </si>
  <si>
    <t>1.3.4.5</t>
  </si>
  <si>
    <t>Acierto o error, alternativa correcta, explicación breve, percentil de cohorte y medalla obtenida.</t>
  </si>
  <si>
    <t>Pantalla Recorrección</t>
  </si>
  <si>
    <t>HU-04</t>
  </si>
  <si>
    <t>Iteración 4 (S8)</t>
  </si>
  <si>
    <t>1.3.4.6</t>
  </si>
  <si>
    <t>Pantalla Desbloqueo de cuota</t>
  </si>
  <si>
    <t>Planteamiento, pasos de resolución, verificación y concepto clave.</t>
  </si>
  <si>
    <t>HU-05</t>
  </si>
  <si>
    <t>1.3.5</t>
  </si>
  <si>
    <t>Integración y persistencia local</t>
  </si>
  <si>
    <t>Iteración 5 (S9)</t>
  </si>
  <si>
    <t>1.3.5.1</t>
  </si>
  <si>
    <t>Inicio y manejo de sesión</t>
  </si>
  <si>
    <t>Habilidad evaluada, nivel de dominio, árbol de prerrequisitos y recursos recomendados.</t>
  </si>
  <si>
    <t>HU-06</t>
  </si>
  <si>
    <t>1.3.5.2</t>
  </si>
  <si>
    <t>Iteración 6 (S10)</t>
  </si>
  <si>
    <t>Caché sin conexión y progreso</t>
  </si>
  <si>
    <t>1.3.6</t>
  </si>
  <si>
    <t>Solicitud de revisión con motivo, alternativa propuesta y comentario, y consulta del estado de las solicitudes.</t>
  </si>
  <si>
    <t>Aseguramiento de calidad</t>
  </si>
  <si>
    <t>1.3.6.1</t>
  </si>
  <si>
    <t>Pruebas unitarias</t>
  </si>
  <si>
    <t>Declaración de colegio o región para ampliar la cuota diaria.</t>
  </si>
  <si>
    <t>1.3.6.2</t>
  </si>
  <si>
    <t>HU-08</t>
  </si>
  <si>
    <t>Pruebas de integración</t>
  </si>
  <si>
    <t>1.3.6.3</t>
  </si>
  <si>
    <t>Análisis estático y compilación</t>
  </si>
  <si>
    <t>Inicio de sesión con Firebase Authentication, incorporado al alcance por autorización del cliente, renovación transparente de la sesión, y alta del alumno en su primera petición con el perfil expuesto en GET /me, incorporado como ajuste de alcance.</t>
  </si>
  <si>
    <t>Sesión verificada en la aplicación y en la API, y perfil del alumno disponible</t>
  </si>
  <si>
    <t>HU-16, HU-21, HT-07</t>
  </si>
  <si>
    <t>1.3.6.4</t>
  </si>
  <si>
    <t>Jeremías / Sebastián</t>
  </si>
  <si>
    <t>Contenedores y despliegue reproducible</t>
  </si>
  <si>
    <t>1.3.6.5</t>
  </si>
  <si>
    <t>Escritura en caché de cada lectura, recuperación de la última copia ante falla de red, en dispositivos móviles y en navegador, y progreso por prueba.</t>
  </si>
  <si>
    <t>Plan de pruebas y pruebas de aceptación</t>
  </si>
  <si>
    <t>Práctica disponible sin conexión</t>
  </si>
  <si>
    <t>HU-13, HU-14</t>
  </si>
  <si>
    <t>1.3.7</t>
  </si>
  <si>
    <t>Iteración 9 (S13)</t>
  </si>
  <si>
    <t>Documentación de diseño</t>
  </si>
  <si>
    <t>1.3.7.1</t>
  </si>
  <si>
    <t>Pruebas sobre modelos, servicios y reglas de negocio, escritas antes del código por quien programa, según el desarrollo guiado por pruebas.</t>
  </si>
  <si>
    <t>Documento del modelo de datos</t>
  </si>
  <si>
    <t>Batería de pruebas unitarias aprobada</t>
  </si>
  <si>
    <t>RT-02</t>
  </si>
  <si>
    <t>Iteraciones 2–10 (S6–S14)</t>
  </si>
  <si>
    <t>1.3.7.2</t>
  </si>
  <si>
    <t>Diagramas UML</t>
  </si>
  <si>
    <t>Verificación de extremo a extremo de los flujos de las seis pantallas contra los catorce servicios del módulo.</t>
  </si>
  <si>
    <t>Informe de pruebas de integración</t>
  </si>
  <si>
    <t>1.3.7.3</t>
  </si>
  <si>
    <t>HT-05, RT-03</t>
  </si>
  <si>
    <t>Innovación</t>
  </si>
  <si>
    <t>Iteración 10 (S14)</t>
  </si>
  <si>
    <t>1.3.8</t>
  </si>
  <si>
    <t>Informes y presentaciones de fase</t>
  </si>
  <si>
    <t>Analizador estático sin advertencias y compilación de los artefactos para dispositivos móviles y web.</t>
  </si>
  <si>
    <t>Artefactos compilados y análisis sin advertencias</t>
  </si>
  <si>
    <t>1.3.8.1</t>
  </si>
  <si>
    <t>Informe de avance</t>
  </si>
  <si>
    <t>1.3.8.2</t>
  </si>
  <si>
    <t xml:space="preserve">Presentación de avance</t>
  </si>
  <si>
    <t>Empaquetado del backend y del emulador de la base de datos en contenedores, con archivo de composición y procedimiento documentado. Su adelanto a la iteración 4 se encuentra propuesto en el plan de dicha iteración.</t>
  </si>
  <si>
    <t>1.3.8.3</t>
  </si>
  <si>
    <t>Presentación de la semana 13</t>
  </si>
  <si>
    <t>Entorno levantado por un tercero siguiendo la documentación</t>
  </si>
  <si>
    <t>1.3.8.4</t>
  </si>
  <si>
    <t>HT-03</t>
  </si>
  <si>
    <t>Informe final</t>
  </si>
  <si>
    <t>1.4</t>
  </si>
  <si>
    <t>Cierre y presentación</t>
  </si>
  <si>
    <t>Plan de pruebas del módulo y pruebas de aceptación diseñadas desde los criterios de cada historia, ejecutadas sobre cada entrega funcional por el encargado de pruebas.</t>
  </si>
  <si>
    <t>Fase 3</t>
  </si>
  <si>
    <t>Plan de pruebas y resultados por entrega</t>
  </si>
  <si>
    <t>Criterios de aceptación de las historias</t>
  </si>
  <si>
    <t>1.4.1</t>
  </si>
  <si>
    <t>Iteraciones 3–10 (S7–S14)</t>
  </si>
  <si>
    <t>Documentación final y manual técnico</t>
  </si>
  <si>
    <t>1.4.2</t>
  </si>
  <si>
    <t>Diccionario de colecciones, campos, relaciones e índices del módulo, con su origen en los documentos de la empresa.</t>
  </si>
  <si>
    <t>Correcciones posteriores al informe final</t>
  </si>
  <si>
    <t>1.4.3</t>
  </si>
  <si>
    <t>Demostración funcional</t>
  </si>
  <si>
    <t>Diagramas de casos de uso, clases, secuencia y componentes del módulo.</t>
  </si>
  <si>
    <t>1.4.4</t>
  </si>
  <si>
    <t>Presentación ante comisión evaluadora</t>
  </si>
  <si>
    <t>S8</t>
  </si>
  <si>
    <t>1.4.5</t>
  </si>
  <si>
    <t>Presentación a empresas vinculadas</t>
  </si>
  <si>
    <t>Descripción del problema que resuelve el módulo, qué lo diferencia y el valor que agrega.</t>
  </si>
  <si>
    <t>Documento de innovación</t>
  </si>
  <si>
    <t>Total de paquetes de trabajo</t>
  </si>
  <si>
    <t>Documento de avance con los ajustes al proyecto, la metodología aplicada y la evidencia de lo desarrollado hasta la semana 9.</t>
  </si>
  <si>
    <t>Informe entregado</t>
  </si>
  <si>
    <t>S9</t>
  </si>
  <si>
    <t>Presentación del avance ante la profesora guía, con video de cinco minutos del prototipo.</t>
  </si>
  <si>
    <t>Presentación realizada y video entregado</t>
  </si>
  <si>
    <t>S10</t>
  </si>
  <si>
    <t>Presentación del estado del proyecto en la semana 13, instancia en que se define su continuidad.</t>
  </si>
  <si>
    <t>S13</t>
  </si>
  <si>
    <t>Documento final del proyecto con la solución completa, sus resultados y su evidencia.</t>
  </si>
  <si>
    <t>S15</t>
  </si>
  <si>
    <t>1.4 Cierre y presentación (Fase 3)</t>
  </si>
  <si>
    <t>Documento de diseño, manual de instalación y despliegue, y manual de usuario.</t>
  </si>
  <si>
    <t>Documentación completa versionada</t>
  </si>
  <si>
    <t>Incorporación de la retroalimentación recibida sobre el informe final.</t>
  </si>
  <si>
    <t>Documentación corregida</t>
  </si>
  <si>
    <t>S16</t>
  </si>
  <si>
    <t>Preparación de la demostración del módulo con datos de prueba cargados.</t>
  </si>
  <si>
    <t>Demostración ensayada y operativa</t>
  </si>
  <si>
    <t>S16–S17</t>
  </si>
  <si>
    <t>Exposición del proyecto, sus resultados y su evidencia ante la comisión evaluadora.</t>
  </si>
  <si>
    <t>S17</t>
  </si>
  <si>
    <t>Exposición del proyecto ante las empresas vinculadas, en la instancia de cierre del semestre.</t>
  </si>
  <si>
    <t>S18</t>
  </si>
  <si>
    <t>Control de versiones</t>
  </si>
  <si>
    <t>Versión</t>
  </si>
  <si>
    <t>Fecha</t>
  </si>
  <si>
    <t>Descripción del cambio</t>
  </si>
  <si>
    <t>1.0</t>
  </si>
  <si>
    <t>03/09/2026</t>
  </si>
  <si>
    <t>Versión inicial, elaborada a partir del Enunciado de Alcance Preliminar y del Product Backlog priorizado inicial.</t>
  </si>
  <si>
    <t>2.0</t>
  </si>
  <si>
    <t>06/09/2026</t>
  </si>
  <si>
    <t>Se reemplaza el vocabulario de Scrum por el de Extreme Programming y se realinean las historias asociadas y los períodos con la lista de historias vigente. El alcance no cambia.</t>
  </si>
  <si>
    <t>2.1</t>
  </si>
  <si>
    <t>07/09/2026</t>
  </si>
  <si>
    <t>Se incorporan los paquetes de contenedores y despliegue reproducible y de presentación a empresas vinculadas, y se elimina el paquete del abstract en inglés, considerado opcional.</t>
  </si>
  <si>
    <t>3.2</t>
  </si>
  <si>
    <t>01/10/2026</t>
  </si>
  <si>
    <t>Se precisa que el módulo tiene catorce servicios: los trece del contrato de la empresa más GET /me, incorporado como ajuste de alcance.</t>
  </si>
  <si>
    <t>3.1</t>
  </si>
  <si>
    <t>29/09/2026</t>
  </si>
  <si>
    <t>Cierre de la iteración 3: se incorpora el alta del alumno con GET /me como ajuste de alcance en el paquete 1.3.5.1 (HT-07), la verificación del entorno en los tres equipos pasa a la historia HT-06 en la iteración 4, y se actualiza la referencia al plan de entregas y los planes de iteración.</t>
  </si>
  <si>
    <t>3.0</t>
  </si>
  <si>
    <t>26/09/2026</t>
  </si>
  <si>
    <t>Se retiran el Acta de Constitución y el SRS, que no corresponden a Extreme Programming, y se reemplaza el SRS por los requisitos no funcionales. Se incorporan los artefactos de XP (plan de entregas, planes de iteración, reflexiones de cierre, criterios de terminado y pruebas de aceptación), la documentación de diseño, el despliegue de la aplicación web y de la API, la guía 1.5 como entregable y los hitos académicos de las Fases 2 y 3. Se actualizan el backend a FastAPI y el inicio de sesión con Firebase Authentication por decisión del cliente, se adelanta el empaquetado en contenedores a la iteración 7 por el hito de la empresa y se asignan los responsables según los roles de XP. La EDT pasa de 43 a 55 paquetes de trabajo.</t>
  </si>
  <si>
    <t xml:space="preserve">Presentación del avance ante la profesora guía mediante un pitch de siete minutos.</t>
  </si>
  <si>
    <t xml:space="preserve">Iteración 5 (S9)</t>
  </si>
  <si>
    <t xml:space="preserve">Empaquetado del backend y del emulador de la base de datos en contenedores, con archivo de composición y procedimiento documentado. Se adelantó y se completó en la iteración 5.</t>
  </si>
  <si>
    <t xml:space="preserve">Iteraciones 1 y 5 (S5, S9)</t>
  </si>
  <si>
    <t xml:space="preserve">3.3</t>
  </si>
  <si>
    <t xml:space="preserve">15/10/2026</t>
  </si>
  <si>
    <t xml:space="preserve">Avance de la iteración 6, en curso: los contenedores (1.3.6.4) y la verificación del entorno en los tres equipos (1.3.1.1) se completaron en la iteración 5, y la presentación de avance de la semana 10 (1.3.8.2) se realizó como un pitch de siete minutos, sin video del prototipo. Se ordena el control de versiones.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</si>
</sst>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Calibri"/>
    </font>
    <font>
      <sz val="11.0"/>
      <color theme="1"/>
      <name val="Calibri"/>
    </font>
    <font>
      <b/>
      <sz val="14.0"/>
      <color rgb="FF000000"/>
      <name val="Calibri"/>
    </font>
    <font>
      <b/>
      <sz val="10.0"/>
      <color rgb="FFFFFFFF"/>
      <name val="Calibri"/>
    </font>
    <font>
      <sz val="10.0"/>
      <color rgb="FF595959"/>
      <name val="Calibri"/>
    </font>
    <font>
      <b/>
      <sz val="16.0"/>
      <color rgb="FF000000"/>
      <name val="Calibri"/>
    </font>
    <font>
      <sz val="10.0"/>
      <color rgb="FFFFFFFF"/>
      <name val="Calibri"/>
    </font>
    <font>
      <sz val="10.0"/>
      <color rgb="FF000000"/>
      <name val="Calibri"/>
    </font>
    <font>
      <sz val="12.0"/>
      <color rgb="FF595959"/>
      <name val="Calibri"/>
    </font>
    <font>
      <b/>
      <sz val="10.0"/>
      <color rgb="FF000000"/>
      <name val="Calibri"/>
    </font>
    <font/>
    <font>
      <b/>
      <sz val="12.0"/>
      <color rgb="FF000000"/>
      <name val="Calibri"/>
    </font>
  </fonts>
  <fills count="6">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
      <patternFill patternType="solid">
        <fgColor rgb="FFF2F2F2"/>
        <bgColor rgb="FFF2F2F2"/>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0" fillId="0" fontId="3" numFmtId="0" xfId="0" applyAlignment="1" applyFont="1">
      <alignment shrinkToFit="0" vertical="bottom" wrapText="0"/>
    </xf>
    <xf borderId="2" fillId="3" fontId="4" numFmtId="0" xfId="0" applyAlignment="1" applyBorder="1" applyFill="1" applyFont="1">
      <alignment horizontal="center" shrinkToFit="0" vertical="center" wrapText="1"/>
    </xf>
    <xf borderId="0" fillId="0" fontId="5" numFmtId="0" xfId="0" applyAlignment="1" applyFont="1">
      <alignment shrinkToFit="0" vertical="top" wrapText="1"/>
    </xf>
    <xf borderId="2" fillId="3" fontId="4" numFmtId="0" xfId="0" applyAlignment="1" applyBorder="1" applyFill="1" applyFont="1">
      <alignment horizontal="center" shrinkToFit="0" vertical="top" wrapText="1"/>
    </xf>
    <xf borderId="0" fillId="0" fontId="6" numFmtId="0" xfId="0" applyAlignment="1" applyFont="1">
      <alignment shrinkToFit="0" vertical="bottom" wrapText="0"/>
    </xf>
    <xf borderId="2" fillId="3" fontId="7" numFmtId="0" xfId="0" applyAlignment="1" applyBorder="1" applyFill="1" applyFont="1">
      <alignment horizontal="center" shrinkToFit="0" vertical="top" wrapText="1"/>
    </xf>
    <xf borderId="1" fillId="2" fontId="8" numFmtId="0" xfId="0" applyAlignment="1" applyBorder="1" applyFill="1" applyFont="1">
      <alignment shrinkToFit="0" vertical="bottom" wrapText="0"/>
    </xf>
    <xf borderId="2" fillId="3" fontId="4" numFmtId="0" xfId="0" applyAlignment="1" applyBorder="1" applyFill="1" applyFont="1">
      <alignment shrinkToFit="0" vertical="top" wrapText="1"/>
    </xf>
    <xf borderId="0" fillId="0" fontId="9" numFmtId="0" xfId="0" applyAlignment="1" applyFont="1">
      <alignment shrinkToFit="0" vertical="bottom" wrapText="0"/>
    </xf>
    <xf borderId="2" fillId="0" fontId="10" numFmtId="0" xfId="0" applyAlignment="1" applyBorder="1" applyFont="1">
      <alignment shrinkToFit="0" vertical="top" wrapText="1"/>
    </xf>
    <xf borderId="2" fillId="3" fontId="7" numFmtId="0" xfId="0" applyAlignment="1" applyBorder="1" applyFill="1" applyFont="1">
      <alignment shrinkToFit="0" vertical="top" wrapText="1"/>
    </xf>
    <xf borderId="2" fillId="0" fontId="8" numFmtId="0" xfId="0" applyAlignment="1" applyBorder="1" applyFont="1">
      <alignment horizontal="center" shrinkToFit="0" vertical="top" wrapText="1"/>
    </xf>
    <xf borderId="2" fillId="4" fontId="10" numFmtId="0" xfId="0" applyAlignment="1" applyBorder="1" applyFill="1" applyFont="1">
      <alignment shrinkToFit="0" vertical="top" wrapText="1"/>
    </xf>
    <xf borderId="2" fillId="0" fontId="8" numFmtId="0" xfId="0" applyAlignment="1" applyBorder="1" applyFont="1">
      <alignment shrinkToFit="0" vertical="top" wrapText="1"/>
    </xf>
    <xf borderId="2" fillId="4" fontId="10" numFmtId="0" xfId="0" applyAlignment="1" applyBorder="1" applyFill="1" applyFont="1">
      <alignment horizontal="center" shrinkToFit="0" vertical="top" wrapText="1"/>
    </xf>
    <xf borderId="3" fillId="4" fontId="10" numFmtId="0" xfId="0" applyAlignment="1" applyBorder="1" applyFill="1" applyFont="1">
      <alignment shrinkToFit="0" vertical="top" wrapText="1"/>
    </xf>
    <xf borderId="2" fillId="4" fontId="8" numFmtId="0" xfId="0" applyAlignment="1" applyBorder="1" applyFill="1" applyFont="1">
      <alignment horizontal="center" shrinkToFit="0" vertical="top" wrapText="1"/>
    </xf>
    <xf borderId="4" fillId="0" fontId="11" numFmtId="0" xfId="0" applyBorder="1" applyFont="1"/>
    <xf borderId="5" fillId="0" fontId="11" numFmtId="0" xfId="0" applyBorder="1" applyFont="1"/>
    <xf borderId="2" fillId="4" fontId="8" numFmtId="0" xfId="0" applyAlignment="1" applyBorder="1" applyFill="1" applyFont="1">
      <alignment shrinkToFit="0" vertical="top" wrapText="1"/>
    </xf>
    <xf borderId="0" fillId="0" fontId="12" numFmtId="0" xfId="0" applyAlignment="1" applyFont="1">
      <alignment shrinkToFit="0" vertical="bottom" wrapText="0"/>
    </xf>
    <xf borderId="3" fillId="0" fontId="8" numFmtId="0" xfId="0" applyAlignment="1" applyBorder="1" applyFont="1">
      <alignment shrinkToFit="0" vertical="top" wrapText="1"/>
    </xf>
    <xf borderId="2" fillId="5" fontId="10" numFmtId="0" xfId="0" applyAlignment="1" applyBorder="1" applyFill="1" applyFont="1">
      <alignment shrinkToFit="0" vertical="top" wrapText="1"/>
    </xf>
    <xf borderId="0" fillId="0" fontId="2" numFmtId="0" xfId="0" applyAlignment="1" applyFont="1">
      <alignment shrinkToFit="0" vertical="bottom" wrapText="0"/>
    </xf>
    <xf borderId="2" fillId="5" fontId="10" numFmtId="0" xfId="0" applyAlignment="1" applyBorder="1" applyFill="1" applyFont="1">
      <alignment horizontal="center" shrinkToFit="0" vertical="top" wrapText="1"/>
    </xf>
    <xf borderId="2" fillId="5" fontId="8" numFmtId="0" xfId="0" applyAlignment="1" applyBorder="1" applyFill="1" applyFont="1">
      <alignment horizontal="center" shrinkToFit="0" vertical="top" wrapText="1"/>
    </xf>
    <xf borderId="2" fillId="5" fontId="8" numFmtId="0" xfId="0" applyAlignment="1" applyBorder="1" applyFill="1" applyFont="1">
      <alignment shrinkToFit="0" vertical="top" wrapText="1"/>
    </xf>
    <xf borderId="2" fillId="0" fontId="8"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 cy="35242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62050" cy="304800"/>
    <xdr:pic>
      <xdr:nvPicPr>
        <xdr:cNvPr descr="Picture"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5242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 cy="35242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1125" cy="35242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6.0"/>
    <col customWidth="1" min="2" max="2" width="90.0"/>
    <col customWidth="1" min="3" max="26" width="8.71"/>
  </cols>
  <sheetData>
    <row r="1">
      <c r="C1" s="2"/>
      <c r="D1" s="2"/>
      <c r="E1" s="2"/>
      <c r="F1" s="2"/>
      <c r="G1" s="2"/>
    </row>
    <row r="2">
      <c r="C2" s="2"/>
      <c r="D2" s="2"/>
      <c r="E2" s="2"/>
      <c r="F2" s="2"/>
      <c r="G2" s="2"/>
    </row>
    <row r="3">
      <c r="C3" s="2"/>
      <c r="D3" s="2"/>
      <c r="E3" s="2"/>
      <c r="F3" s="2"/>
      <c r="G3" s="2"/>
    </row>
    <row r="4">
      <c r="A4" s="8" t="s">
        <v>9</v>
      </c>
    </row>
    <row r="5">
      <c r="A5" s="12" t="s">
        <v>13</v>
      </c>
    </row>
    <row r="7">
      <c r="A7" s="16" t="s">
        <v>22</v>
      </c>
      <c r="B7" s="17" t="s">
        <v>30</v>
      </c>
    </row>
    <row r="8">
      <c r="A8" s="16" t="s">
        <v>31</v>
      </c>
      <c r="B8" s="17" t="s">
        <v>32</v>
      </c>
    </row>
    <row r="9">
      <c r="A9" s="16" t="s">
        <v>33</v>
      </c>
      <c r="B9" s="17" t="s">
        <v>34</v>
      </c>
    </row>
    <row r="10">
      <c r="A10" s="16" t="s">
        <v>35</v>
      </c>
      <c r="B10" s="17" t="s">
        <v>37</v>
      </c>
    </row>
    <row r="11">
      <c r="A11" s="16" t="s">
        <v>38</v>
      </c>
      <c r="B11" s="17" t="s">
        <v>39</v>
      </c>
    </row>
    <row r="12">
      <c r="A12" s="16" t="s">
        <v>40</v>
      </c>
      <c r="B12" s="17" t="s">
        <v>42</v>
      </c>
    </row>
    <row r="13">
      <c r="A13" s="16" t="s">
        <v>44</v>
      </c>
      <c r="B13" s="17" t="s">
        <v>46</v>
      </c>
    </row>
    <row r="14">
      <c r="A14" s="16" t="s">
        <v>48</v>
      </c>
      <c r="B14" s="17" t="s">
        <v>50</v>
      </c>
    </row>
    <row r="16">
      <c r="A16" s="24" t="s">
        <v>53</v>
      </c>
    </row>
    <row r="17" ht="45.0" customHeight="1">
      <c r="A17" s="25" t="s">
        <v>61</v>
      </c>
      <c r="B17" s="22"/>
    </row>
    <row r="19">
      <c r="A19" s="24" t="s">
        <v>75</v>
      </c>
    </row>
    <row r="20" ht="37.5" customHeight="1">
      <c r="A20" s="26" t="s">
        <v>86</v>
      </c>
      <c r="B20" s="17" t="s">
        <v>92</v>
      </c>
    </row>
    <row r="21" ht="37.5" customHeight="1">
      <c r="A21" s="26" t="s">
        <v>94</v>
      </c>
      <c r="B21" s="17" t="s">
        <v>96</v>
      </c>
    </row>
    <row r="22" ht="37.5" customHeight="1">
      <c r="A22" s="26" t="s">
        <v>100</v>
      </c>
      <c r="B22" s="17" t="s">
        <v>101</v>
      </c>
    </row>
    <row r="23" ht="37.5" customHeight="1">
      <c r="A23" s="26" t="s">
        <v>103</v>
      </c>
      <c r="B23" s="17" t="s">
        <v>104</v>
      </c>
    </row>
    <row r="24" ht="37.5" customHeight="1">
      <c r="A24" s="26" t="s">
        <v>106</v>
      </c>
      <c r="B24" s="17" t="s">
        <v>108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B17"/>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8.0"/>
    <col customWidth="1" min="3" max="3" width="52.0"/>
    <col customWidth="1" min="4" max="4" width="20.0"/>
    <col customWidth="1" min="5" max="5" width="13.0"/>
    <col customWidth="1" min="6" max="26" width="8.71"/>
  </cols>
  <sheetData>
    <row r="1">
      <c r="C1" s="1"/>
      <c r="D1" s="1"/>
      <c r="E1" s="1"/>
      <c r="F1" s="1"/>
      <c r="G1" s="1"/>
    </row>
    <row r="2">
      <c r="C2" s="3" t="s">
        <v>0</v>
      </c>
      <c r="D2" s="1"/>
      <c r="E2" s="1"/>
      <c r="F2" s="1"/>
      <c r="G2" s="1"/>
    </row>
    <row r="3">
      <c r="C3" s="1"/>
      <c r="D3" s="1"/>
      <c r="E3" s="1"/>
      <c r="F3" s="1"/>
      <c r="G3" s="1"/>
    </row>
    <row r="4">
      <c r="A4" s="5" t="s">
        <v>2</v>
      </c>
      <c r="B4" s="5" t="s">
        <v>3</v>
      </c>
      <c r="C4" s="5" t="s">
        <v>4</v>
      </c>
      <c r="D4" s="5" t="s">
        <v>5</v>
      </c>
      <c r="E4" s="5" t="s">
        <v>6</v>
      </c>
    </row>
    <row r="5">
      <c r="A5" s="7" t="s">
        <v>7</v>
      </c>
      <c r="B5" s="9">
        <v>1.0</v>
      </c>
      <c r="C5" s="11" t="s">
        <v>14</v>
      </c>
      <c r="D5" s="14" t="s">
        <v>18</v>
      </c>
      <c r="E5" s="9" t="s">
        <v>24</v>
      </c>
    </row>
    <row r="6">
      <c r="A6" s="18" t="s">
        <v>28</v>
      </c>
      <c r="B6" s="20">
        <v>2.0</v>
      </c>
      <c r="C6" s="16" t="s">
        <v>36</v>
      </c>
      <c r="D6" s="23" t="s">
        <v>4</v>
      </c>
      <c r="E6" s="20" t="s">
        <v>43</v>
      </c>
    </row>
    <row r="7">
      <c r="A7" s="15" t="s">
        <v>41</v>
      </c>
      <c r="B7" s="15">
        <v>3.0</v>
      </c>
      <c r="C7" s="17" t="s">
        <v>45</v>
      </c>
      <c r="D7" s="17" t="s">
        <v>19</v>
      </c>
      <c r="E7" s="15" t="s">
        <v>43</v>
      </c>
    </row>
    <row r="8">
      <c r="A8" s="15" t="s">
        <v>55</v>
      </c>
      <c r="B8" s="15">
        <v>3.0</v>
      </c>
      <c r="C8" s="17" t="s">
        <v>56</v>
      </c>
      <c r="D8" s="17" t="s">
        <v>19</v>
      </c>
      <c r="E8" s="15" t="s">
        <v>43</v>
      </c>
    </row>
    <row r="9">
      <c r="A9" s="15" t="s">
        <v>62</v>
      </c>
      <c r="B9" s="15">
        <v>3.0</v>
      </c>
      <c r="C9" s="17" t="s">
        <v>64</v>
      </c>
      <c r="D9" s="17" t="s">
        <v>19</v>
      </c>
      <c r="E9" s="15" t="s">
        <v>43</v>
      </c>
    </row>
    <row r="10">
      <c r="A10" s="15" t="s">
        <v>69</v>
      </c>
      <c r="B10" s="15">
        <v>3.0</v>
      </c>
      <c r="C10" s="17" t="s">
        <v>71</v>
      </c>
      <c r="D10" s="17" t="s">
        <v>19</v>
      </c>
      <c r="E10" s="15" t="s">
        <v>43</v>
      </c>
    </row>
    <row r="11">
      <c r="A11" s="15" t="s">
        <v>79</v>
      </c>
      <c r="B11" s="15">
        <v>3.0</v>
      </c>
      <c r="C11" s="17" t="s">
        <v>80</v>
      </c>
      <c r="D11" s="17" t="s">
        <v>19</v>
      </c>
      <c r="E11" s="15" t="s">
        <v>43</v>
      </c>
    </row>
    <row r="12">
      <c r="A12" s="15" t="s">
        <v>87</v>
      </c>
      <c r="B12" s="15">
        <v>3.0</v>
      </c>
      <c r="C12" s="17" t="s">
        <v>89</v>
      </c>
      <c r="D12" s="17" t="s">
        <v>19</v>
      </c>
      <c r="E12" s="15" t="s">
        <v>43</v>
      </c>
    </row>
    <row r="13">
      <c r="A13" s="18" t="s">
        <v>110</v>
      </c>
      <c r="B13" s="20">
        <v>2.0</v>
      </c>
      <c r="C13" s="16" t="s">
        <v>112</v>
      </c>
      <c r="D13" s="23" t="s">
        <v>4</v>
      </c>
      <c r="E13" s="20" t="s">
        <v>114</v>
      </c>
    </row>
    <row r="14">
      <c r="A14" s="28" t="s">
        <v>118</v>
      </c>
      <c r="B14" s="29">
        <v>3.0</v>
      </c>
      <c r="C14" s="26" t="s">
        <v>124</v>
      </c>
      <c r="D14" s="30" t="s">
        <v>126</v>
      </c>
      <c r="E14" s="29" t="s">
        <v>114</v>
      </c>
    </row>
    <row r="15">
      <c r="A15" s="15" t="s">
        <v>105</v>
      </c>
      <c r="B15" s="15">
        <v>4.0</v>
      </c>
      <c r="C15" s="17" t="s">
        <v>107</v>
      </c>
      <c r="D15" s="17" t="s">
        <v>19</v>
      </c>
      <c r="E15" s="15" t="s">
        <v>114</v>
      </c>
    </row>
    <row r="16">
      <c r="A16" s="15" t="s">
        <v>115</v>
      </c>
      <c r="B16" s="15">
        <v>4.0</v>
      </c>
      <c r="C16" s="17" t="s">
        <v>116</v>
      </c>
      <c r="D16" s="17" t="s">
        <v>19</v>
      </c>
      <c r="E16" s="15" t="s">
        <v>114</v>
      </c>
    </row>
    <row r="17">
      <c r="A17" s="28" t="s">
        <v>139</v>
      </c>
      <c r="B17" s="29">
        <v>3.0</v>
      </c>
      <c r="C17" s="26" t="s">
        <v>142</v>
      </c>
      <c r="D17" s="30" t="s">
        <v>126</v>
      </c>
      <c r="E17" s="29" t="s">
        <v>114</v>
      </c>
    </row>
    <row r="18">
      <c r="A18" s="15" t="s">
        <v>120</v>
      </c>
      <c r="B18" s="15">
        <v>4.0</v>
      </c>
      <c r="C18" s="17" t="s">
        <v>121</v>
      </c>
      <c r="D18" s="17" t="s">
        <v>19</v>
      </c>
      <c r="E18" s="15" t="s">
        <v>114</v>
      </c>
    </row>
    <row r="19">
      <c r="A19" s="15" t="s">
        <v>125</v>
      </c>
      <c r="B19" s="15">
        <v>4.0</v>
      </c>
      <c r="C19" s="17" t="s">
        <v>127</v>
      </c>
      <c r="D19" s="17" t="s">
        <v>19</v>
      </c>
      <c r="E19" s="15" t="s">
        <v>114</v>
      </c>
    </row>
    <row r="20">
      <c r="A20" s="15" t="s">
        <v>130</v>
      </c>
      <c r="B20" s="15">
        <v>4.0</v>
      </c>
      <c r="C20" s="17" t="s">
        <v>131</v>
      </c>
      <c r="D20" s="17" t="s">
        <v>19</v>
      </c>
      <c r="E20" s="15" t="s">
        <v>114</v>
      </c>
    </row>
    <row r="21" ht="15.75" customHeight="1">
      <c r="A21" s="15" t="s">
        <v>137</v>
      </c>
      <c r="B21" s="15">
        <v>4.0</v>
      </c>
      <c r="C21" s="17" t="s">
        <v>138</v>
      </c>
      <c r="D21" s="17" t="s">
        <v>19</v>
      </c>
      <c r="E21" s="15" t="s">
        <v>114</v>
      </c>
    </row>
    <row r="22" ht="15.75" customHeight="1">
      <c r="A22" s="15" t="s">
        <v>146</v>
      </c>
      <c r="B22" s="15">
        <v>4.0</v>
      </c>
      <c r="C22" s="17" t="s">
        <v>147</v>
      </c>
      <c r="D22" s="17" t="s">
        <v>19</v>
      </c>
      <c r="E22" s="15" t="s">
        <v>114</v>
      </c>
    </row>
    <row r="23" ht="15.75" customHeight="1">
      <c r="A23" s="15" t="s">
        <v>152</v>
      </c>
      <c r="B23" s="15">
        <v>4.0</v>
      </c>
      <c r="C23" s="17" t="s">
        <v>153</v>
      </c>
      <c r="D23" s="17" t="s">
        <v>19</v>
      </c>
      <c r="E23" s="15" t="s">
        <v>114</v>
      </c>
    </row>
    <row r="24" ht="15.75" customHeight="1">
      <c r="A24" s="15" t="s">
        <v>159</v>
      </c>
      <c r="B24" s="15">
        <v>4.0</v>
      </c>
      <c r="C24" s="17" t="s">
        <v>160</v>
      </c>
      <c r="D24" s="17" t="s">
        <v>19</v>
      </c>
      <c r="E24" s="15" t="s">
        <v>114</v>
      </c>
    </row>
    <row r="25" ht="15.75" customHeight="1">
      <c r="A25" s="28" t="s">
        <v>171</v>
      </c>
      <c r="B25" s="29">
        <v>3.0</v>
      </c>
      <c r="C25" s="26" t="s">
        <v>174</v>
      </c>
      <c r="D25" s="30" t="s">
        <v>126</v>
      </c>
      <c r="E25" s="29" t="s">
        <v>114</v>
      </c>
    </row>
    <row r="26" ht="15.75" customHeight="1">
      <c r="A26" s="15" t="s">
        <v>165</v>
      </c>
      <c r="B26" s="15">
        <v>4.0</v>
      </c>
      <c r="C26" s="17" t="s">
        <v>166</v>
      </c>
      <c r="D26" s="17" t="s">
        <v>19</v>
      </c>
      <c r="E26" s="15" t="s">
        <v>114</v>
      </c>
    </row>
    <row r="27" ht="15.75" customHeight="1">
      <c r="A27" s="15" t="s">
        <v>172</v>
      </c>
      <c r="B27" s="15">
        <v>4.0</v>
      </c>
      <c r="C27" s="17" t="s">
        <v>173</v>
      </c>
      <c r="D27" s="17" t="s">
        <v>19</v>
      </c>
      <c r="E27" s="15" t="s">
        <v>114</v>
      </c>
    </row>
    <row r="28" ht="15.75" customHeight="1">
      <c r="A28" s="15" t="s">
        <v>179</v>
      </c>
      <c r="B28" s="15">
        <v>4.0</v>
      </c>
      <c r="C28" s="17" t="s">
        <v>180</v>
      </c>
      <c r="D28" s="17" t="s">
        <v>19</v>
      </c>
      <c r="E28" s="15" t="s">
        <v>114</v>
      </c>
    </row>
    <row r="29" ht="15.75" customHeight="1">
      <c r="A29" s="28" t="s">
        <v>187</v>
      </c>
      <c r="B29" s="29">
        <v>3.0</v>
      </c>
      <c r="C29" s="26" t="s">
        <v>188</v>
      </c>
      <c r="D29" s="30" t="s">
        <v>126</v>
      </c>
      <c r="E29" s="29" t="s">
        <v>114</v>
      </c>
    </row>
    <row r="30" ht="15.75" customHeight="1">
      <c r="A30" s="15" t="s">
        <v>183</v>
      </c>
      <c r="B30" s="15">
        <v>4.0</v>
      </c>
      <c r="C30" s="17" t="s">
        <v>184</v>
      </c>
      <c r="D30" s="17" t="s">
        <v>19</v>
      </c>
      <c r="E30" s="15" t="s">
        <v>114</v>
      </c>
    </row>
    <row r="31" ht="15.75" customHeight="1">
      <c r="A31" s="15" t="s">
        <v>189</v>
      </c>
      <c r="B31" s="15">
        <v>4.0</v>
      </c>
      <c r="C31" s="17" t="s">
        <v>190</v>
      </c>
      <c r="D31" s="17" t="s">
        <v>19</v>
      </c>
      <c r="E31" s="15" t="s">
        <v>114</v>
      </c>
    </row>
    <row r="32" ht="15.75" customHeight="1">
      <c r="A32" s="18" t="s">
        <v>195</v>
      </c>
      <c r="B32" s="20">
        <v>2.0</v>
      </c>
      <c r="C32" s="16" t="s">
        <v>196</v>
      </c>
      <c r="D32" s="23" t="s">
        <v>4</v>
      </c>
      <c r="E32" s="20" t="s">
        <v>197</v>
      </c>
    </row>
    <row r="33" ht="15.75" customHeight="1">
      <c r="A33" s="28" t="s">
        <v>198</v>
      </c>
      <c r="B33" s="29">
        <v>3.0</v>
      </c>
      <c r="C33" s="26" t="s">
        <v>199</v>
      </c>
      <c r="D33" s="30" t="s">
        <v>126</v>
      </c>
      <c r="E33" s="29" t="s">
        <v>197</v>
      </c>
    </row>
    <row r="34" ht="15.75" customHeight="1">
      <c r="A34" s="15" t="s">
        <v>200</v>
      </c>
      <c r="B34" s="15">
        <v>4.0</v>
      </c>
      <c r="C34" s="17" t="s">
        <v>201</v>
      </c>
      <c r="D34" s="17" t="s">
        <v>19</v>
      </c>
      <c r="E34" s="15" t="s">
        <v>197</v>
      </c>
    </row>
    <row r="35" ht="15.75" customHeight="1">
      <c r="A35" s="15" t="s">
        <v>206</v>
      </c>
      <c r="B35" s="15">
        <v>4.0</v>
      </c>
      <c r="C35" s="17" t="s">
        <v>207</v>
      </c>
      <c r="D35" s="17" t="s">
        <v>19</v>
      </c>
      <c r="E35" s="15" t="s">
        <v>197</v>
      </c>
    </row>
    <row r="36" ht="15.75" customHeight="1">
      <c r="A36" s="15" t="s">
        <v>210</v>
      </c>
      <c r="B36" s="15">
        <v>4.0</v>
      </c>
      <c r="C36" s="17" t="s">
        <v>212</v>
      </c>
      <c r="D36" s="17" t="s">
        <v>19</v>
      </c>
      <c r="E36" s="15" t="s">
        <v>197</v>
      </c>
    </row>
    <row r="37" ht="15.75" customHeight="1">
      <c r="A37" s="28" t="s">
        <v>214</v>
      </c>
      <c r="B37" s="29">
        <v>3.0</v>
      </c>
      <c r="C37" s="26" t="s">
        <v>216</v>
      </c>
      <c r="D37" s="30" t="s">
        <v>126</v>
      </c>
      <c r="E37" s="29" t="s">
        <v>197</v>
      </c>
    </row>
    <row r="38" ht="15.75" customHeight="1">
      <c r="A38" s="15" t="s">
        <v>220</v>
      </c>
      <c r="B38" s="15">
        <v>4.0</v>
      </c>
      <c r="C38" s="17" t="s">
        <v>221</v>
      </c>
      <c r="D38" s="17" t="s">
        <v>19</v>
      </c>
      <c r="E38" s="15" t="s">
        <v>197</v>
      </c>
    </row>
    <row r="39" ht="15.75" customHeight="1">
      <c r="A39" s="15" t="s">
        <v>224</v>
      </c>
      <c r="B39" s="15">
        <v>4.0</v>
      </c>
      <c r="C39" s="17" t="s">
        <v>226</v>
      </c>
      <c r="D39" s="17" t="s">
        <v>19</v>
      </c>
      <c r="E39" s="15" t="s">
        <v>197</v>
      </c>
    </row>
    <row r="40" ht="15.75" customHeight="1">
      <c r="A40" s="15" t="s">
        <v>228</v>
      </c>
      <c r="B40" s="15">
        <v>4.0</v>
      </c>
      <c r="C40" s="17" t="s">
        <v>230</v>
      </c>
      <c r="D40" s="17" t="s">
        <v>19</v>
      </c>
      <c r="E40" s="15" t="s">
        <v>197</v>
      </c>
    </row>
    <row r="41" ht="15.75" customHeight="1">
      <c r="A41" s="28" t="s">
        <v>234</v>
      </c>
      <c r="B41" s="29">
        <v>3.0</v>
      </c>
      <c r="C41" s="26" t="s">
        <v>54</v>
      </c>
      <c r="D41" s="30" t="s">
        <v>126</v>
      </c>
      <c r="E41" s="29" t="s">
        <v>197</v>
      </c>
    </row>
    <row r="42" ht="15.75" customHeight="1">
      <c r="A42" s="15" t="s">
        <v>236</v>
      </c>
      <c r="B42" s="15">
        <v>4.0</v>
      </c>
      <c r="C42" s="17" t="s">
        <v>238</v>
      </c>
      <c r="D42" s="17" t="s">
        <v>19</v>
      </c>
      <c r="E42" s="15" t="s">
        <v>197</v>
      </c>
    </row>
    <row r="43" ht="15.75" customHeight="1">
      <c r="A43" s="15" t="s">
        <v>239</v>
      </c>
      <c r="B43" s="15">
        <v>4.0</v>
      </c>
      <c r="C43" s="17" t="s">
        <v>240</v>
      </c>
      <c r="D43" s="17" t="s">
        <v>19</v>
      </c>
      <c r="E43" s="15" t="s">
        <v>197</v>
      </c>
    </row>
    <row r="44" ht="15.75" customHeight="1">
      <c r="A44" s="15" t="s">
        <v>244</v>
      </c>
      <c r="B44" s="15">
        <v>4.0</v>
      </c>
      <c r="C44" s="17" t="s">
        <v>246</v>
      </c>
      <c r="D44" s="17" t="s">
        <v>19</v>
      </c>
      <c r="E44" s="15" t="s">
        <v>197</v>
      </c>
    </row>
    <row r="45" ht="15.75" customHeight="1">
      <c r="A45" s="15" t="s">
        <v>247</v>
      </c>
      <c r="B45" s="15">
        <v>4.0</v>
      </c>
      <c r="C45" s="17" t="s">
        <v>249</v>
      </c>
      <c r="D45" s="17" t="s">
        <v>19</v>
      </c>
      <c r="E45" s="15" t="s">
        <v>197</v>
      </c>
    </row>
    <row r="46" ht="15.75" customHeight="1">
      <c r="A46" s="28" t="s">
        <v>253</v>
      </c>
      <c r="B46" s="29">
        <v>3.0</v>
      </c>
      <c r="C46" s="26" t="s">
        <v>254</v>
      </c>
      <c r="D46" s="30" t="s">
        <v>126</v>
      </c>
      <c r="E46" s="29" t="s">
        <v>197</v>
      </c>
    </row>
    <row r="47" ht="15.75" customHeight="1">
      <c r="A47" s="15" t="s">
        <v>256</v>
      </c>
      <c r="B47" s="15">
        <v>4.0</v>
      </c>
      <c r="C47" s="17" t="s">
        <v>258</v>
      </c>
      <c r="D47" s="17" t="s">
        <v>19</v>
      </c>
      <c r="E47" s="15" t="s">
        <v>197</v>
      </c>
    </row>
    <row r="48" ht="15.75" customHeight="1">
      <c r="A48" s="15" t="s">
        <v>261</v>
      </c>
      <c r="B48" s="15">
        <v>4.0</v>
      </c>
      <c r="C48" s="17" t="s">
        <v>264</v>
      </c>
      <c r="D48" s="17" t="s">
        <v>19</v>
      </c>
      <c r="E48" s="15" t="s">
        <v>197</v>
      </c>
    </row>
    <row r="49" ht="15.75" customHeight="1">
      <c r="A49" s="15" t="s">
        <v>266</v>
      </c>
      <c r="B49" s="15">
        <v>4.0</v>
      </c>
      <c r="C49" s="17" t="s">
        <v>267</v>
      </c>
      <c r="D49" s="17" t="s">
        <v>19</v>
      </c>
      <c r="E49" s="15" t="s">
        <v>197</v>
      </c>
    </row>
    <row r="50" ht="15.75" customHeight="1">
      <c r="A50" s="15" t="s">
        <v>271</v>
      </c>
      <c r="B50" s="15">
        <v>4.0</v>
      </c>
      <c r="C50" s="17" t="s">
        <v>273</v>
      </c>
      <c r="D50" s="17" t="s">
        <v>19</v>
      </c>
      <c r="E50" s="15" t="s">
        <v>197</v>
      </c>
    </row>
    <row r="51" ht="15.75" customHeight="1">
      <c r="A51" s="15" t="s">
        <v>274</v>
      </c>
      <c r="B51" s="15">
        <v>4.0</v>
      </c>
      <c r="C51" s="17" t="s">
        <v>276</v>
      </c>
      <c r="D51" s="17" t="s">
        <v>19</v>
      </c>
      <c r="E51" s="15" t="s">
        <v>197</v>
      </c>
    </row>
    <row r="52" ht="15.75" customHeight="1">
      <c r="A52" s="15" t="s">
        <v>279</v>
      </c>
      <c r="B52" s="15">
        <v>4.0</v>
      </c>
      <c r="C52" s="17" t="s">
        <v>280</v>
      </c>
      <c r="D52" s="17" t="s">
        <v>19</v>
      </c>
      <c r="E52" s="15" t="s">
        <v>197</v>
      </c>
    </row>
    <row r="53" ht="15.75" customHeight="1">
      <c r="A53" s="28" t="s">
        <v>283</v>
      </c>
      <c r="B53" s="29">
        <v>3.0</v>
      </c>
      <c r="C53" s="26" t="s">
        <v>284</v>
      </c>
      <c r="D53" s="30" t="s">
        <v>126</v>
      </c>
      <c r="E53" s="29" t="s">
        <v>197</v>
      </c>
    </row>
    <row r="54" ht="15.75" customHeight="1">
      <c r="A54" s="15" t="s">
        <v>286</v>
      </c>
      <c r="B54" s="15">
        <v>4.0</v>
      </c>
      <c r="C54" s="17" t="s">
        <v>287</v>
      </c>
      <c r="D54" s="17" t="s">
        <v>19</v>
      </c>
      <c r="E54" s="15" t="s">
        <v>197</v>
      </c>
    </row>
    <row r="55" ht="15.75" customHeight="1">
      <c r="A55" s="15" t="s">
        <v>290</v>
      </c>
      <c r="B55" s="15">
        <v>4.0</v>
      </c>
      <c r="C55" s="17" t="s">
        <v>292</v>
      </c>
      <c r="D55" s="17" t="s">
        <v>19</v>
      </c>
      <c r="E55" s="15" t="s">
        <v>197</v>
      </c>
    </row>
    <row r="56" ht="15.75" customHeight="1">
      <c r="A56" s="28" t="s">
        <v>293</v>
      </c>
      <c r="B56" s="29">
        <v>3.0</v>
      </c>
      <c r="C56" s="26" t="s">
        <v>295</v>
      </c>
      <c r="D56" s="30" t="s">
        <v>126</v>
      </c>
      <c r="E56" s="29" t="s">
        <v>197</v>
      </c>
    </row>
    <row r="57" ht="15.75" customHeight="1">
      <c r="A57" s="15" t="s">
        <v>296</v>
      </c>
      <c r="B57" s="15">
        <v>4.0</v>
      </c>
      <c r="C57" s="17" t="s">
        <v>297</v>
      </c>
      <c r="D57" s="17" t="s">
        <v>19</v>
      </c>
      <c r="E57" s="15" t="s">
        <v>197</v>
      </c>
    </row>
    <row r="58" ht="15.75" customHeight="1">
      <c r="A58" s="15" t="s">
        <v>299</v>
      </c>
      <c r="B58" s="15">
        <v>4.0</v>
      </c>
      <c r="C58" s="17" t="s">
        <v>301</v>
      </c>
      <c r="D58" s="17" t="s">
        <v>19</v>
      </c>
      <c r="E58" s="15" t="s">
        <v>197</v>
      </c>
    </row>
    <row r="59" ht="15.75" customHeight="1">
      <c r="A59" s="15" t="s">
        <v>302</v>
      </c>
      <c r="B59" s="15">
        <v>4.0</v>
      </c>
      <c r="C59" s="17" t="s">
        <v>303</v>
      </c>
      <c r="D59" s="17" t="s">
        <v>19</v>
      </c>
      <c r="E59" s="15" t="s">
        <v>197</v>
      </c>
    </row>
    <row r="60" ht="15.75" customHeight="1">
      <c r="A60" s="15" t="s">
        <v>307</v>
      </c>
      <c r="B60" s="15">
        <v>4.0</v>
      </c>
      <c r="C60" s="17" t="s">
        <v>309</v>
      </c>
      <c r="D60" s="17" t="s">
        <v>19</v>
      </c>
      <c r="E60" s="15" t="s">
        <v>197</v>
      </c>
    </row>
    <row r="61" ht="15.75" customHeight="1">
      <c r="A61" s="15" t="s">
        <v>310</v>
      </c>
      <c r="B61" s="15">
        <v>4.0</v>
      </c>
      <c r="C61" s="17" t="s">
        <v>312</v>
      </c>
      <c r="D61" s="17" t="s">
        <v>19</v>
      </c>
      <c r="E61" s="15" t="s">
        <v>197</v>
      </c>
    </row>
    <row r="62" ht="15.75" customHeight="1">
      <c r="A62" s="28" t="s">
        <v>315</v>
      </c>
      <c r="B62" s="29">
        <v>3.0</v>
      </c>
      <c r="C62" s="26" t="s">
        <v>317</v>
      </c>
      <c r="D62" s="30" t="s">
        <v>126</v>
      </c>
      <c r="E62" s="29" t="s">
        <v>197</v>
      </c>
    </row>
    <row r="63" ht="15.75" customHeight="1">
      <c r="A63" s="15" t="s">
        <v>318</v>
      </c>
      <c r="B63" s="15">
        <v>4.0</v>
      </c>
      <c r="C63" s="17" t="s">
        <v>320</v>
      </c>
      <c r="D63" s="17" t="s">
        <v>19</v>
      </c>
      <c r="E63" s="15" t="s">
        <v>197</v>
      </c>
    </row>
    <row r="64" ht="15.75" customHeight="1">
      <c r="A64" s="15" t="s">
        <v>324</v>
      </c>
      <c r="B64" s="15">
        <v>4.0</v>
      </c>
      <c r="C64" s="17" t="s">
        <v>325</v>
      </c>
      <c r="D64" s="17" t="s">
        <v>19</v>
      </c>
      <c r="E64" s="15" t="s">
        <v>197</v>
      </c>
    </row>
    <row r="65" ht="15.75" customHeight="1">
      <c r="A65" s="15" t="s">
        <v>328</v>
      </c>
      <c r="B65" s="15">
        <v>4.0</v>
      </c>
      <c r="C65" s="17" t="s">
        <v>330</v>
      </c>
      <c r="D65" s="17" t="s">
        <v>19</v>
      </c>
      <c r="E65" s="15" t="s">
        <v>197</v>
      </c>
    </row>
    <row r="66" ht="15.75" customHeight="1">
      <c r="A66" s="28" t="s">
        <v>332</v>
      </c>
      <c r="B66" s="29">
        <v>3.0</v>
      </c>
      <c r="C66" s="26" t="s">
        <v>333</v>
      </c>
      <c r="D66" s="30" t="s">
        <v>126</v>
      </c>
      <c r="E66" s="29" t="s">
        <v>197</v>
      </c>
    </row>
    <row r="67" ht="15.75" customHeight="1">
      <c r="A67" s="15" t="s">
        <v>336</v>
      </c>
      <c r="B67" s="15">
        <v>4.0</v>
      </c>
      <c r="C67" s="17" t="s">
        <v>337</v>
      </c>
      <c r="D67" s="17" t="s">
        <v>19</v>
      </c>
      <c r="E67" s="15" t="s">
        <v>197</v>
      </c>
    </row>
    <row r="68" ht="15.75" customHeight="1">
      <c r="A68" s="15" t="s">
        <v>338</v>
      </c>
      <c r="B68" s="15">
        <v>4.0</v>
      </c>
      <c r="C68" s="17" t="s">
        <v>339</v>
      </c>
      <c r="D68" s="17" t="s">
        <v>19</v>
      </c>
      <c r="E68" s="15" t="s">
        <v>197</v>
      </c>
    </row>
    <row r="69" ht="15.75" customHeight="1">
      <c r="A69" s="15" t="s">
        <v>341</v>
      </c>
      <c r="B69" s="15">
        <v>4.0</v>
      </c>
      <c r="C69" s="17" t="s">
        <v>342</v>
      </c>
      <c r="D69" s="17" t="s">
        <v>19</v>
      </c>
      <c r="E69" s="15" t="s">
        <v>197</v>
      </c>
    </row>
    <row r="70" ht="15.75" customHeight="1">
      <c r="A70" s="15" t="s">
        <v>344</v>
      </c>
      <c r="B70" s="15">
        <v>4.0</v>
      </c>
      <c r="C70" s="17" t="s">
        <v>346</v>
      </c>
      <c r="D70" s="17" t="s">
        <v>19</v>
      </c>
      <c r="E70" s="15" t="s">
        <v>197</v>
      </c>
    </row>
    <row r="71" ht="15.75" customHeight="1">
      <c r="A71" s="18" t="s">
        <v>347</v>
      </c>
      <c r="B71" s="20">
        <v>2.0</v>
      </c>
      <c r="C71" s="16" t="s">
        <v>348</v>
      </c>
      <c r="D71" s="23" t="s">
        <v>4</v>
      </c>
      <c r="E71" s="20" t="s">
        <v>350</v>
      </c>
    </row>
    <row r="72" ht="15.75" customHeight="1">
      <c r="A72" s="15" t="s">
        <v>353</v>
      </c>
      <c r="B72" s="15">
        <v>3.0</v>
      </c>
      <c r="C72" s="17" t="s">
        <v>355</v>
      </c>
      <c r="D72" s="17" t="s">
        <v>19</v>
      </c>
      <c r="E72" s="15" t="s">
        <v>350</v>
      </c>
    </row>
    <row r="73" ht="15.75" customHeight="1">
      <c r="A73" s="15" t="s">
        <v>356</v>
      </c>
      <c r="B73" s="15">
        <v>3.0</v>
      </c>
      <c r="C73" s="17" t="s">
        <v>358</v>
      </c>
      <c r="D73" s="17" t="s">
        <v>19</v>
      </c>
      <c r="E73" s="15" t="s">
        <v>350</v>
      </c>
    </row>
    <row r="74" ht="15.75" customHeight="1">
      <c r="A74" s="15" t="s">
        <v>359</v>
      </c>
      <c r="B74" s="15">
        <v>3.0</v>
      </c>
      <c r="C74" s="17" t="s">
        <v>360</v>
      </c>
      <c r="D74" s="17" t="s">
        <v>19</v>
      </c>
      <c r="E74" s="15" t="s">
        <v>350</v>
      </c>
    </row>
    <row r="75" ht="15.75" customHeight="1">
      <c r="A75" s="15" t="s">
        <v>362</v>
      </c>
      <c r="B75" s="15">
        <v>3.0</v>
      </c>
      <c r="C75" s="17" t="s">
        <v>363</v>
      </c>
      <c r="D75" s="17" t="s">
        <v>19</v>
      </c>
      <c r="E75" s="15" t="s">
        <v>350</v>
      </c>
    </row>
    <row r="76" ht="15.75" customHeight="1">
      <c r="A76" s="15" t="s">
        <v>365</v>
      </c>
      <c r="B76" s="15">
        <v>3.0</v>
      </c>
      <c r="C76" s="17" t="s">
        <v>366</v>
      </c>
      <c r="D76" s="17" t="s">
        <v>19</v>
      </c>
      <c r="E76" s="15" t="s">
        <v>350</v>
      </c>
    </row>
    <row r="77" ht="15.75" customHeight="1">
      <c r="C77" s="16" t="s">
        <v>369</v>
      </c>
      <c r="D77" s="18">
        <f>COUNTIF(D5:D76,"Paquete de trabajo")</f>
        <v>55</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0.0"/>
    <col customWidth="1" min="2" max="2" width="30.0"/>
    <col customWidth="1" min="3" max="3" width="54.0"/>
    <col customWidth="1" min="4" max="4" width="32.0"/>
    <col customWidth="1" min="5" max="5" width="22.0"/>
    <col customWidth="1" min="6" max="6" width="18.0"/>
    <col customWidth="1" min="7" max="7" width="20.0"/>
    <col customWidth="1" min="8" max="26" width="8.71"/>
  </cols>
  <sheetData>
    <row r="1">
      <c r="C1" s="1"/>
      <c r="D1" s="1"/>
      <c r="E1" s="1"/>
      <c r="F1" s="1"/>
      <c r="G1" s="1"/>
    </row>
    <row r="2">
      <c r="C2" s="3" t="s">
        <v>8</v>
      </c>
      <c r="D2" s="1"/>
      <c r="E2" s="1"/>
      <c r="F2" s="1"/>
      <c r="G2" s="1"/>
    </row>
    <row r="3">
      <c r="C3" s="10"/>
      <c r="D3" s="1"/>
      <c r="E3" s="1"/>
      <c r="F3" s="1"/>
      <c r="G3" s="1"/>
    </row>
    <row r="5">
      <c r="A5" s="5" t="s">
        <v>2</v>
      </c>
      <c r="B5" s="5" t="s">
        <v>19</v>
      </c>
      <c r="C5" s="5" t="s">
        <v>20</v>
      </c>
      <c r="D5" s="5" t="s">
        <v>21</v>
      </c>
      <c r="E5" s="5" t="s">
        <v>23</v>
      </c>
      <c r="F5" s="5" t="s">
        <v>25</v>
      </c>
      <c r="G5" s="5" t="s">
        <v>26</v>
      </c>
    </row>
    <row r="6" ht="15.0" customHeight="1">
      <c r="A6" s="19" t="s">
        <v>29</v>
      </c>
      <c r="B6" s="21"/>
      <c r="C6" s="21"/>
      <c r="D6" s="21"/>
      <c r="E6" s="21"/>
      <c r="F6" s="21"/>
      <c r="G6" s="22"/>
    </row>
    <row r="7">
      <c r="A7" s="15" t="s">
        <v>41</v>
      </c>
      <c r="B7" s="17" t="s">
        <v>45</v>
      </c>
      <c r="C7" s="17" t="s">
        <v>47</v>
      </c>
      <c r="D7" s="17" t="s">
        <v>49</v>
      </c>
      <c r="E7" s="17" t="s">
        <v>24</v>
      </c>
      <c r="F7" s="15" t="s">
        <v>51</v>
      </c>
      <c r="G7" s="15" t="s">
        <v>52</v>
      </c>
    </row>
    <row r="8">
      <c r="A8" s="15" t="s">
        <v>55</v>
      </c>
      <c r="B8" s="17" t="s">
        <v>56</v>
      </c>
      <c r="C8" s="17" t="s">
        <v>57</v>
      </c>
      <c r="D8" s="17" t="s">
        <v>59</v>
      </c>
      <c r="E8" s="17" t="s">
        <v>24</v>
      </c>
      <c r="F8" s="15" t="s">
        <v>51</v>
      </c>
      <c r="G8" s="15" t="s">
        <v>60</v>
      </c>
    </row>
    <row r="9">
      <c r="A9" s="15" t="s">
        <v>62</v>
      </c>
      <c r="B9" s="17" t="s">
        <v>64</v>
      </c>
      <c r="C9" s="17" t="s">
        <v>65</v>
      </c>
      <c r="D9" s="17" t="s">
        <v>67</v>
      </c>
      <c r="E9" s="17" t="s">
        <v>24</v>
      </c>
      <c r="F9" s="15" t="s">
        <v>68</v>
      </c>
      <c r="G9" s="15" t="s">
        <v>52</v>
      </c>
    </row>
    <row r="10">
      <c r="A10" s="15" t="s">
        <v>69</v>
      </c>
      <c r="B10" s="17" t="s">
        <v>71</v>
      </c>
      <c r="C10" s="17" t="s">
        <v>72</v>
      </c>
      <c r="D10" s="17" t="s">
        <v>74</v>
      </c>
      <c r="E10" s="17" t="s">
        <v>24</v>
      </c>
      <c r="F10" s="15" t="s">
        <v>76</v>
      </c>
      <c r="G10" s="15" t="s">
        <v>77</v>
      </c>
    </row>
    <row r="11">
      <c r="A11" s="15" t="s">
        <v>79</v>
      </c>
      <c r="B11" s="17" t="s">
        <v>80</v>
      </c>
      <c r="C11" s="17" t="s">
        <v>82</v>
      </c>
      <c r="D11" s="17" t="s">
        <v>83</v>
      </c>
      <c r="E11" s="17" t="s">
        <v>84</v>
      </c>
      <c r="F11" s="15" t="s">
        <v>51</v>
      </c>
      <c r="G11" s="15" t="s">
        <v>60</v>
      </c>
    </row>
    <row r="12">
      <c r="A12" s="15" t="s">
        <v>87</v>
      </c>
      <c r="B12" s="17" t="s">
        <v>89</v>
      </c>
      <c r="C12" s="17" t="s">
        <v>90</v>
      </c>
      <c r="D12" s="17" t="s">
        <v>91</v>
      </c>
      <c r="E12" s="17" t="s">
        <v>24</v>
      </c>
      <c r="F12" s="15" t="s">
        <v>51</v>
      </c>
      <c r="G12" s="15" t="s">
        <v>60</v>
      </c>
    </row>
    <row r="13" ht="15.0" customHeight="1">
      <c r="A13" s="19" t="s">
        <v>98</v>
      </c>
      <c r="B13" s="21"/>
      <c r="C13" s="21"/>
      <c r="D13" s="21"/>
      <c r="E13" s="21"/>
      <c r="F13" s="21"/>
      <c r="G13" s="22"/>
    </row>
    <row r="14">
      <c r="A14" s="15" t="s">
        <v>105</v>
      </c>
      <c r="B14" s="17" t="s">
        <v>107</v>
      </c>
      <c r="C14" s="17" t="s">
        <v>109</v>
      </c>
      <c r="D14" s="17" t="s">
        <v>111</v>
      </c>
      <c r="E14" s="17" t="s">
        <v>24</v>
      </c>
      <c r="F14" s="15" t="s">
        <v>51</v>
      </c>
      <c r="G14" s="15" t="s">
        <v>113</v>
      </c>
    </row>
    <row r="15">
      <c r="A15" s="15" t="s">
        <v>115</v>
      </c>
      <c r="B15" s="17" t="s">
        <v>116</v>
      </c>
      <c r="C15" s="17" t="s">
        <v>117</v>
      </c>
      <c r="D15" s="17" t="s">
        <v>116</v>
      </c>
      <c r="E15" s="17" t="s">
        <v>24</v>
      </c>
      <c r="F15" s="15" t="s">
        <v>68</v>
      </c>
      <c r="G15" s="15" t="s">
        <v>119</v>
      </c>
    </row>
    <row r="16">
      <c r="A16" s="15" t="s">
        <v>120</v>
      </c>
      <c r="B16" s="17" t="s">
        <v>121</v>
      </c>
      <c r="C16" s="17" t="s">
        <v>122</v>
      </c>
      <c r="D16" s="17" t="s">
        <v>111</v>
      </c>
      <c r="E16" s="17" t="s">
        <v>24</v>
      </c>
      <c r="F16" s="15" t="s">
        <v>123</v>
      </c>
      <c r="G16" s="15" t="s">
        <v>119</v>
      </c>
    </row>
    <row r="17">
      <c r="A17" s="15" t="s">
        <v>125</v>
      </c>
      <c r="B17" s="17" t="s">
        <v>127</v>
      </c>
      <c r="C17" s="17" t="s">
        <v>128</v>
      </c>
      <c r="D17" s="17" t="s">
        <v>129</v>
      </c>
      <c r="E17" s="17" t="s">
        <v>24</v>
      </c>
      <c r="F17" s="15" t="s">
        <v>123</v>
      </c>
      <c r="G17" s="15" t="s">
        <v>119</v>
      </c>
    </row>
    <row r="18">
      <c r="A18" s="15" t="s">
        <v>130</v>
      </c>
      <c r="B18" s="17" t="s">
        <v>131</v>
      </c>
      <c r="C18" s="17" t="s">
        <v>132</v>
      </c>
      <c r="D18" s="17" t="s">
        <v>133</v>
      </c>
      <c r="E18" s="17" t="s">
        <v>134</v>
      </c>
      <c r="F18" s="15" t="s">
        <v>68</v>
      </c>
      <c r="G18" s="15" t="s">
        <v>136</v>
      </c>
    </row>
    <row r="19">
      <c r="A19" s="15" t="s">
        <v>137</v>
      </c>
      <c r="B19" s="17" t="s">
        <v>138</v>
      </c>
      <c r="C19" s="17" t="s">
        <v>140</v>
      </c>
      <c r="D19" s="17" t="s">
        <v>143</v>
      </c>
      <c r="E19" s="17" t="s">
        <v>144</v>
      </c>
      <c r="F19" s="15" t="s">
        <v>68</v>
      </c>
      <c r="G19" s="15" t="s">
        <v>119</v>
      </c>
    </row>
    <row r="20">
      <c r="A20" s="15" t="s">
        <v>146</v>
      </c>
      <c r="B20" s="17" t="s">
        <v>147</v>
      </c>
      <c r="C20" s="17" t="s">
        <v>148</v>
      </c>
      <c r="D20" s="17" t="s">
        <v>147</v>
      </c>
      <c r="E20" s="17" t="s">
        <v>84</v>
      </c>
      <c r="F20" s="15" t="s">
        <v>51</v>
      </c>
      <c r="G20" s="15" t="s">
        <v>151</v>
      </c>
    </row>
    <row r="21" ht="15.75" customHeight="1">
      <c r="A21" s="15" t="s">
        <v>152</v>
      </c>
      <c r="B21" s="17" t="s">
        <v>153</v>
      </c>
      <c r="C21" s="17" t="s">
        <v>154</v>
      </c>
      <c r="D21" s="17" t="s">
        <v>155</v>
      </c>
      <c r="E21" s="17" t="s">
        <v>24</v>
      </c>
      <c r="F21" s="15" t="s">
        <v>51</v>
      </c>
      <c r="G21" s="15" t="s">
        <v>158</v>
      </c>
    </row>
    <row r="22" ht="15.75" customHeight="1">
      <c r="A22" s="15" t="s">
        <v>159</v>
      </c>
      <c r="B22" s="17" t="s">
        <v>160</v>
      </c>
      <c r="C22" s="17" t="s">
        <v>161</v>
      </c>
      <c r="D22" s="17" t="s">
        <v>160</v>
      </c>
      <c r="E22" s="17" t="s">
        <v>144</v>
      </c>
      <c r="F22" s="15" t="s">
        <v>68</v>
      </c>
      <c r="G22" s="15" t="s">
        <v>164</v>
      </c>
    </row>
    <row r="23" ht="15.75" customHeight="1">
      <c r="A23" s="15" t="s">
        <v>165</v>
      </c>
      <c r="B23" s="17" t="s">
        <v>166</v>
      </c>
      <c r="C23" s="17" t="s">
        <v>167</v>
      </c>
      <c r="D23" s="17" t="s">
        <v>168</v>
      </c>
      <c r="E23" s="17" t="s">
        <v>24</v>
      </c>
      <c r="F23" s="15" t="s">
        <v>68</v>
      </c>
      <c r="G23" s="15" t="s">
        <v>119</v>
      </c>
    </row>
    <row r="24" ht="15.75" customHeight="1">
      <c r="A24" s="15" t="s">
        <v>172</v>
      </c>
      <c r="B24" s="17" t="s">
        <v>173</v>
      </c>
      <c r="C24" s="17" t="s">
        <v>175</v>
      </c>
      <c r="D24" s="17" t="s">
        <v>173</v>
      </c>
      <c r="E24" s="17" t="s">
        <v>24</v>
      </c>
      <c r="F24" s="15" t="s">
        <v>51</v>
      </c>
      <c r="G24" s="15" t="s">
        <v>176</v>
      </c>
    </row>
    <row r="25" ht="15.75" customHeight="1">
      <c r="A25" s="15" t="s">
        <v>179</v>
      </c>
      <c r="B25" s="17" t="s">
        <v>180</v>
      </c>
      <c r="C25" s="17" t="s">
        <v>181</v>
      </c>
      <c r="D25" s="17" t="s">
        <v>182</v>
      </c>
      <c r="E25" s="17" t="s">
        <v>24</v>
      </c>
      <c r="F25" s="15" t="s">
        <v>68</v>
      </c>
      <c r="G25" s="15" t="s">
        <v>113</v>
      </c>
    </row>
    <row r="26" ht="15.75" customHeight="1">
      <c r="A26" s="15" t="s">
        <v>183</v>
      </c>
      <c r="B26" s="17" t="s">
        <v>184</v>
      </c>
      <c r="C26" s="17" t="s">
        <v>185</v>
      </c>
      <c r="D26" s="17" t="s">
        <v>186</v>
      </c>
      <c r="E26" s="17" t="s">
        <v>24</v>
      </c>
      <c r="F26" s="15" t="s">
        <v>68</v>
      </c>
      <c r="G26" s="15" t="s">
        <v>164</v>
      </c>
    </row>
    <row r="27" ht="15.75" customHeight="1">
      <c r="A27" s="15" t="s">
        <v>189</v>
      </c>
      <c r="B27" s="17" t="s">
        <v>190</v>
      </c>
      <c r="C27" s="17" t="s">
        <v>191</v>
      </c>
      <c r="D27" s="17" t="s">
        <v>192</v>
      </c>
      <c r="E27" s="17" t="s">
        <v>24</v>
      </c>
      <c r="F27" s="15" t="s">
        <v>68</v>
      </c>
      <c r="G27" s="15" t="s">
        <v>193</v>
      </c>
    </row>
    <row r="28" ht="15.0" customHeight="1">
      <c r="A28" s="19" t="s">
        <v>194</v>
      </c>
      <c r="B28" s="21"/>
      <c r="C28" s="21"/>
      <c r="D28" s="21"/>
      <c r="E28" s="21"/>
      <c r="F28" s="21"/>
      <c r="G28" s="22"/>
    </row>
    <row r="29" ht="15.75" customHeight="1">
      <c r="A29" s="15" t="s">
        <v>200</v>
      </c>
      <c r="B29" s="17" t="s">
        <v>201</v>
      </c>
      <c r="C29" s="17" t="s">
        <v>202</v>
      </c>
      <c r="D29" s="17" t="s">
        <v>203</v>
      </c>
      <c r="E29" s="17" t="s">
        <v>204</v>
      </c>
      <c r="F29" s="15" t="s">
        <v>68</v>
      </c>
      <c r="G29" s="15" t="s">
        <v>418</v>
      </c>
    </row>
    <row r="30" ht="15.75" customHeight="1">
      <c r="A30" s="15" t="s">
        <v>206</v>
      </c>
      <c r="B30" s="17" t="s">
        <v>207</v>
      </c>
      <c r="C30" s="17" t="s">
        <v>208</v>
      </c>
      <c r="D30" s="17" t="s">
        <v>209</v>
      </c>
      <c r="E30" s="17" t="s">
        <v>211</v>
      </c>
      <c r="F30" s="15" t="s">
        <v>123</v>
      </c>
      <c r="G30" s="15" t="s">
        <v>213</v>
      </c>
    </row>
    <row r="31" ht="15.75" customHeight="1">
      <c r="A31" s="15" t="s">
        <v>210</v>
      </c>
      <c r="B31" s="17" t="s">
        <v>212</v>
      </c>
      <c r="C31" s="17" t="s">
        <v>215</v>
      </c>
      <c r="D31" s="17" t="s">
        <v>217</v>
      </c>
      <c r="E31" s="17" t="s">
        <v>218</v>
      </c>
      <c r="F31" s="15" t="s">
        <v>123</v>
      </c>
      <c r="G31" s="15" t="s">
        <v>219</v>
      </c>
    </row>
    <row r="32" ht="15.75" customHeight="1">
      <c r="A32" s="15" t="s">
        <v>220</v>
      </c>
      <c r="B32" s="17" t="s">
        <v>221</v>
      </c>
      <c r="C32" s="17" t="s">
        <v>222</v>
      </c>
      <c r="D32" s="17" t="s">
        <v>223</v>
      </c>
      <c r="E32" s="17" t="s">
        <v>225</v>
      </c>
      <c r="F32" s="15" t="s">
        <v>123</v>
      </c>
      <c r="G32" s="15" t="s">
        <v>227</v>
      </c>
    </row>
    <row r="33" ht="15.75" customHeight="1">
      <c r="A33" s="15" t="s">
        <v>224</v>
      </c>
      <c r="B33" s="17" t="s">
        <v>226</v>
      </c>
      <c r="C33" s="17" t="s">
        <v>229</v>
      </c>
      <c r="D33" s="17" t="s">
        <v>231</v>
      </c>
      <c r="E33" s="17" t="s">
        <v>225</v>
      </c>
      <c r="F33" s="15" t="s">
        <v>232</v>
      </c>
      <c r="G33" s="15" t="s">
        <v>233</v>
      </c>
    </row>
    <row r="34" ht="15.75" customHeight="1">
      <c r="A34" s="15" t="s">
        <v>228</v>
      </c>
      <c r="B34" s="17" t="s">
        <v>230</v>
      </c>
      <c r="C34" s="17" t="s">
        <v>235</v>
      </c>
      <c r="D34" s="17" t="s">
        <v>237</v>
      </c>
      <c r="E34" s="17" t="s">
        <v>225</v>
      </c>
      <c r="F34" s="15" t="s">
        <v>232</v>
      </c>
      <c r="G34" s="15" t="s">
        <v>233</v>
      </c>
    </row>
    <row r="35" ht="15.75" customHeight="1">
      <c r="A35" s="15" t="s">
        <v>236</v>
      </c>
      <c r="B35" s="17" t="s">
        <v>238</v>
      </c>
      <c r="C35" s="17" t="s">
        <v>241</v>
      </c>
      <c r="D35" s="17" t="s">
        <v>242</v>
      </c>
      <c r="E35" s="17" t="s">
        <v>243</v>
      </c>
      <c r="F35" s="15" t="s">
        <v>123</v>
      </c>
      <c r="G35" s="15" t="s">
        <v>245</v>
      </c>
    </row>
    <row r="36" ht="15.75" customHeight="1">
      <c r="A36" s="15" t="s">
        <v>239</v>
      </c>
      <c r="B36" s="17" t="s">
        <v>240</v>
      </c>
      <c r="C36" s="17" t="s">
        <v>248</v>
      </c>
      <c r="D36" s="17" t="s">
        <v>250</v>
      </c>
      <c r="E36" s="17" t="s">
        <v>251</v>
      </c>
      <c r="F36" s="15" t="s">
        <v>123</v>
      </c>
      <c r="G36" s="15" t="s">
        <v>252</v>
      </c>
    </row>
    <row r="37" ht="15.75" customHeight="1">
      <c r="A37" s="15" t="s">
        <v>244</v>
      </c>
      <c r="B37" s="17" t="s">
        <v>246</v>
      </c>
      <c r="C37" s="17" t="s">
        <v>255</v>
      </c>
      <c r="D37" s="17" t="s">
        <v>250</v>
      </c>
      <c r="E37" s="17" t="s">
        <v>257</v>
      </c>
      <c r="F37" s="15" t="s">
        <v>123</v>
      </c>
      <c r="G37" s="15" t="s">
        <v>259</v>
      </c>
    </row>
    <row r="38" ht="15.75" customHeight="1">
      <c r="A38" s="15" t="s">
        <v>247</v>
      </c>
      <c r="B38" s="17" t="s">
        <v>249</v>
      </c>
      <c r="C38" s="17" t="s">
        <v>260</v>
      </c>
      <c r="D38" s="17" t="s">
        <v>262</v>
      </c>
      <c r="E38" s="17" t="s">
        <v>263</v>
      </c>
      <c r="F38" s="15" t="s">
        <v>123</v>
      </c>
      <c r="G38" s="15" t="s">
        <v>265</v>
      </c>
    </row>
    <row r="39" ht="15.75" customHeight="1">
      <c r="A39" s="15" t="s">
        <v>256</v>
      </c>
      <c r="B39" s="17" t="s">
        <v>258</v>
      </c>
      <c r="C39" s="17" t="s">
        <v>268</v>
      </c>
      <c r="D39" s="17" t="s">
        <v>269</v>
      </c>
      <c r="E39" s="17" t="s">
        <v>270</v>
      </c>
      <c r="F39" s="15" t="s">
        <v>232</v>
      </c>
      <c r="G39" s="15" t="s">
        <v>272</v>
      </c>
    </row>
    <row r="40" ht="15.75" customHeight="1">
      <c r="A40" s="15" t="s">
        <v>261</v>
      </c>
      <c r="B40" s="17" t="s">
        <v>264</v>
      </c>
      <c r="C40" s="17" t="s">
        <v>275</v>
      </c>
      <c r="D40" s="17" t="s">
        <v>269</v>
      </c>
      <c r="E40" s="17" t="s">
        <v>277</v>
      </c>
      <c r="F40" s="15" t="s">
        <v>232</v>
      </c>
      <c r="G40" s="15" t="s">
        <v>278</v>
      </c>
    </row>
    <row r="41" ht="15.75" customHeight="1">
      <c r="A41" s="15" t="s">
        <v>266</v>
      </c>
      <c r="B41" s="17" t="s">
        <v>267</v>
      </c>
      <c r="C41" s="17" t="s">
        <v>281</v>
      </c>
      <c r="D41" s="17" t="s">
        <v>269</v>
      </c>
      <c r="E41" s="17" t="s">
        <v>282</v>
      </c>
      <c r="F41" s="15" t="s">
        <v>232</v>
      </c>
      <c r="G41" s="15" t="s">
        <v>285</v>
      </c>
    </row>
    <row r="42" ht="15.75" customHeight="1">
      <c r="A42" s="15" t="s">
        <v>271</v>
      </c>
      <c r="B42" s="17" t="s">
        <v>273</v>
      </c>
      <c r="C42" s="17" t="s">
        <v>288</v>
      </c>
      <c r="D42" s="17" t="s">
        <v>269</v>
      </c>
      <c r="E42" s="17" t="s">
        <v>289</v>
      </c>
      <c r="F42" s="15" t="s">
        <v>232</v>
      </c>
      <c r="G42" s="15" t="s">
        <v>291</v>
      </c>
    </row>
    <row r="43" ht="15.75" customHeight="1">
      <c r="A43" s="15" t="s">
        <v>274</v>
      </c>
      <c r="B43" s="17" t="s">
        <v>276</v>
      </c>
      <c r="C43" s="17" t="s">
        <v>294</v>
      </c>
      <c r="D43" s="17" t="s">
        <v>269</v>
      </c>
      <c r="E43" s="17" t="s">
        <v>257</v>
      </c>
      <c r="F43" s="15" t="s">
        <v>232</v>
      </c>
      <c r="G43" s="15" t="s">
        <v>259</v>
      </c>
    </row>
    <row r="44" ht="15.75" customHeight="1">
      <c r="A44" s="15" t="s">
        <v>279</v>
      </c>
      <c r="B44" s="17" t="s">
        <v>280</v>
      </c>
      <c r="C44" s="17" t="s">
        <v>298</v>
      </c>
      <c r="D44" s="17" t="s">
        <v>269</v>
      </c>
      <c r="E44" s="17" t="s">
        <v>300</v>
      </c>
      <c r="F44" s="15" t="s">
        <v>232</v>
      </c>
      <c r="G44" s="15" t="s">
        <v>252</v>
      </c>
    </row>
    <row r="45" ht="15.75" customHeight="1">
      <c r="A45" s="15" t="s">
        <v>286</v>
      </c>
      <c r="B45" s="17" t="s">
        <v>287</v>
      </c>
      <c r="C45" s="17" t="s">
        <v>304</v>
      </c>
      <c r="D45" s="17" t="s">
        <v>305</v>
      </c>
      <c r="E45" s="17" t="s">
        <v>306</v>
      </c>
      <c r="F45" s="15" t="s">
        <v>308</v>
      </c>
      <c r="G45" s="15" t="s">
        <v>272</v>
      </c>
    </row>
    <row r="46" ht="15.75" customHeight="1">
      <c r="A46" s="15" t="s">
        <v>290</v>
      </c>
      <c r="B46" s="17" t="s">
        <v>292</v>
      </c>
      <c r="C46" s="17" t="s">
        <v>311</v>
      </c>
      <c r="D46" s="17" t="s">
        <v>313</v>
      </c>
      <c r="E46" s="17" t="s">
        <v>314</v>
      </c>
      <c r="F46" s="15" t="s">
        <v>232</v>
      </c>
      <c r="G46" s="15" t="s">
        <v>316</v>
      </c>
    </row>
    <row r="47" ht="15.75" customHeight="1">
      <c r="A47" s="15" t="s">
        <v>296</v>
      </c>
      <c r="B47" s="17" t="s">
        <v>297</v>
      </c>
      <c r="C47" s="17" t="s">
        <v>319</v>
      </c>
      <c r="D47" s="17" t="s">
        <v>321</v>
      </c>
      <c r="E47" s="17" t="s">
        <v>322</v>
      </c>
      <c r="F47" s="15" t="s">
        <v>308</v>
      </c>
      <c r="G47" s="15" t="s">
        <v>323</v>
      </c>
    </row>
    <row r="48" ht="15.75" customHeight="1">
      <c r="A48" s="15" t="s">
        <v>299</v>
      </c>
      <c r="B48" s="17" t="s">
        <v>301</v>
      </c>
      <c r="C48" s="17" t="s">
        <v>326</v>
      </c>
      <c r="D48" s="17" t="s">
        <v>327</v>
      </c>
      <c r="E48" s="17" t="s">
        <v>329</v>
      </c>
      <c r="F48" s="15" t="s">
        <v>51</v>
      </c>
      <c r="G48" s="15" t="s">
        <v>331</v>
      </c>
    </row>
    <row r="49" ht="15.75" customHeight="1">
      <c r="A49" s="15" t="s">
        <v>302</v>
      </c>
      <c r="B49" s="17" t="s">
        <v>303</v>
      </c>
      <c r="C49" s="17" t="s">
        <v>334</v>
      </c>
      <c r="D49" s="17" t="s">
        <v>335</v>
      </c>
      <c r="E49" s="17" t="s">
        <v>322</v>
      </c>
      <c r="F49" s="15" t="s">
        <v>68</v>
      </c>
      <c r="G49" s="15" t="s">
        <v>331</v>
      </c>
    </row>
    <row r="50" ht="15.75" customHeight="1">
      <c r="A50" s="15" t="s">
        <v>307</v>
      </c>
      <c r="B50" s="17" t="s">
        <v>309</v>
      </c>
      <c r="C50" s="31" t="s">
        <v>417</v>
      </c>
      <c r="D50" s="17" t="s">
        <v>343</v>
      </c>
      <c r="E50" s="17" t="s">
        <v>345</v>
      </c>
      <c r="F50" s="15" t="s">
        <v>123</v>
      </c>
      <c r="G50" s="15" t="s">
        <v>416</v>
      </c>
    </row>
    <row r="51" ht="15.75" customHeight="1">
      <c r="A51" s="15" t="s">
        <v>310</v>
      </c>
      <c r="B51" s="17" t="s">
        <v>312</v>
      </c>
      <c r="C51" s="17" t="s">
        <v>349</v>
      </c>
      <c r="D51" s="17" t="s">
        <v>351</v>
      </c>
      <c r="E51" s="17" t="s">
        <v>352</v>
      </c>
      <c r="F51" s="15" t="s">
        <v>51</v>
      </c>
      <c r="G51" s="15" t="s">
        <v>354</v>
      </c>
    </row>
    <row r="52" ht="15.75" customHeight="1">
      <c r="A52" s="15" t="s">
        <v>318</v>
      </c>
      <c r="B52" s="17" t="s">
        <v>320</v>
      </c>
      <c r="C52" s="17" t="s">
        <v>357</v>
      </c>
      <c r="D52" s="17" t="s">
        <v>320</v>
      </c>
      <c r="E52" s="17" t="s">
        <v>225</v>
      </c>
      <c r="F52" s="15" t="s">
        <v>123</v>
      </c>
      <c r="G52" s="15" t="s">
        <v>272</v>
      </c>
    </row>
    <row r="53" ht="15.75" customHeight="1">
      <c r="A53" s="15" t="s">
        <v>324</v>
      </c>
      <c r="B53" s="17" t="s">
        <v>325</v>
      </c>
      <c r="C53" s="17" t="s">
        <v>361</v>
      </c>
      <c r="D53" s="17" t="s">
        <v>325</v>
      </c>
      <c r="E53" s="17" t="s">
        <v>24</v>
      </c>
      <c r="F53" s="15" t="s">
        <v>68</v>
      </c>
      <c r="G53" s="15" t="s">
        <v>364</v>
      </c>
    </row>
    <row r="54" ht="15.75" customHeight="1">
      <c r="A54" s="15" t="s">
        <v>328</v>
      </c>
      <c r="B54" s="17" t="s">
        <v>330</v>
      </c>
      <c r="C54" s="17" t="s">
        <v>367</v>
      </c>
      <c r="D54" s="17" t="s">
        <v>368</v>
      </c>
      <c r="E54" s="17" t="s">
        <v>24</v>
      </c>
      <c r="F54" s="15" t="s">
        <v>68</v>
      </c>
      <c r="G54" s="15" t="s">
        <v>364</v>
      </c>
    </row>
    <row r="55" ht="15.75" customHeight="1">
      <c r="A55" s="15" t="s">
        <v>336</v>
      </c>
      <c r="B55" s="17" t="s">
        <v>337</v>
      </c>
      <c r="C55" s="17" t="s">
        <v>370</v>
      </c>
      <c r="D55" s="17" t="s">
        <v>371</v>
      </c>
      <c r="E55" s="17" t="s">
        <v>24</v>
      </c>
      <c r="F55" s="15" t="s">
        <v>68</v>
      </c>
      <c r="G55" s="15" t="s">
        <v>372</v>
      </c>
    </row>
    <row r="56" ht="15.75" customHeight="1">
      <c r="A56" s="15" t="s">
        <v>338</v>
      </c>
      <c r="B56" s="17" t="s">
        <v>339</v>
      </c>
      <c r="C56" s="17" t="s">
        <v>415</v>
      </c>
      <c r="D56" s="17" t="s">
        <v>192</v>
      </c>
      <c r="E56" s="17" t="s">
        <v>24</v>
      </c>
      <c r="F56" s="15" t="s">
        <v>68</v>
      </c>
      <c r="G56" s="15" t="s">
        <v>375</v>
      </c>
    </row>
    <row r="57" ht="15.75" customHeight="1">
      <c r="A57" s="15" t="s">
        <v>341</v>
      </c>
      <c r="B57" s="17" t="s">
        <v>342</v>
      </c>
      <c r="C57" s="17" t="s">
        <v>376</v>
      </c>
      <c r="D57" s="17" t="s">
        <v>192</v>
      </c>
      <c r="E57" s="17" t="s">
        <v>24</v>
      </c>
      <c r="F57" s="15" t="s">
        <v>68</v>
      </c>
      <c r="G57" s="15" t="s">
        <v>377</v>
      </c>
    </row>
    <row r="58" ht="15.75" customHeight="1">
      <c r="A58" s="15" t="s">
        <v>344</v>
      </c>
      <c r="B58" s="17" t="s">
        <v>346</v>
      </c>
      <c r="C58" s="17" t="s">
        <v>378</v>
      </c>
      <c r="D58" s="17" t="s">
        <v>371</v>
      </c>
      <c r="E58" s="17" t="s">
        <v>24</v>
      </c>
      <c r="F58" s="15" t="s">
        <v>68</v>
      </c>
      <c r="G58" s="15" t="s">
        <v>379</v>
      </c>
    </row>
    <row r="59" ht="15.0" customHeight="1">
      <c r="A59" s="19" t="s">
        <v>380</v>
      </c>
      <c r="B59" s="21"/>
      <c r="C59" s="21"/>
      <c r="D59" s="21"/>
      <c r="E59" s="21"/>
      <c r="F59" s="21"/>
      <c r="G59" s="22"/>
    </row>
    <row r="60" ht="15.75" customHeight="1">
      <c r="A60" s="15" t="s">
        <v>353</v>
      </c>
      <c r="B60" s="17" t="s">
        <v>355</v>
      </c>
      <c r="C60" s="17" t="s">
        <v>381</v>
      </c>
      <c r="D60" s="17" t="s">
        <v>382</v>
      </c>
      <c r="E60" s="17" t="s">
        <v>24</v>
      </c>
      <c r="F60" s="15" t="s">
        <v>68</v>
      </c>
      <c r="G60" s="15" t="s">
        <v>379</v>
      </c>
    </row>
    <row r="61" ht="15.75" customHeight="1">
      <c r="A61" s="15" t="s">
        <v>356</v>
      </c>
      <c r="B61" s="17" t="s">
        <v>358</v>
      </c>
      <c r="C61" s="17" t="s">
        <v>383</v>
      </c>
      <c r="D61" s="17" t="s">
        <v>384</v>
      </c>
      <c r="E61" s="17" t="s">
        <v>24</v>
      </c>
      <c r="F61" s="15" t="s">
        <v>68</v>
      </c>
      <c r="G61" s="15" t="s">
        <v>385</v>
      </c>
    </row>
    <row r="62" ht="15.75" customHeight="1">
      <c r="A62" s="15" t="s">
        <v>359</v>
      </c>
      <c r="B62" s="17" t="s">
        <v>360</v>
      </c>
      <c r="C62" s="17" t="s">
        <v>386</v>
      </c>
      <c r="D62" s="17" t="s">
        <v>387</v>
      </c>
      <c r="E62" s="17" t="s">
        <v>24</v>
      </c>
      <c r="F62" s="15" t="s">
        <v>68</v>
      </c>
      <c r="G62" s="15" t="s">
        <v>388</v>
      </c>
    </row>
    <row r="63" ht="15.75" customHeight="1">
      <c r="A63" s="15" t="s">
        <v>362</v>
      </c>
      <c r="B63" s="17" t="s">
        <v>363</v>
      </c>
      <c r="C63" s="17" t="s">
        <v>389</v>
      </c>
      <c r="D63" s="17" t="s">
        <v>192</v>
      </c>
      <c r="E63" s="17" t="s">
        <v>24</v>
      </c>
      <c r="F63" s="15" t="s">
        <v>68</v>
      </c>
      <c r="G63" s="15" t="s">
        <v>390</v>
      </c>
    </row>
    <row r="64" ht="15.75" customHeight="1">
      <c r="A64" s="15" t="s">
        <v>365</v>
      </c>
      <c r="B64" s="17" t="s">
        <v>366</v>
      </c>
      <c r="C64" s="17" t="s">
        <v>391</v>
      </c>
      <c r="D64" s="17" t="s">
        <v>192</v>
      </c>
      <c r="E64" s="17" t="s">
        <v>24</v>
      </c>
      <c r="F64" s="15" t="s">
        <v>68</v>
      </c>
      <c r="G64" s="15" t="s">
        <v>392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6:G6"/>
    <mergeCell ref="A13:G13"/>
    <mergeCell ref="A28:G28"/>
    <mergeCell ref="A59:G59"/>
  </mergeCell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3" width="14.0"/>
    <col customWidth="1" min="4" max="4" width="62.0"/>
    <col customWidth="1" min="5" max="5" width="14.0"/>
    <col customWidth="1" min="6" max="26" width="8.71"/>
  </cols>
  <sheetData>
    <row r="1">
      <c r="C1" s="2"/>
      <c r="D1" s="2"/>
      <c r="E1" s="2"/>
      <c r="F1" s="2"/>
      <c r="G1" s="2"/>
    </row>
    <row r="2">
      <c r="B2" s="4" t="s">
        <v>1</v>
      </c>
      <c r="C2" s="2"/>
      <c r="D2" s="2"/>
      <c r="E2" s="2"/>
      <c r="F2" s="2"/>
      <c r="G2" s="2"/>
    </row>
    <row r="3">
      <c r="C3" s="2"/>
      <c r="D3" s="2"/>
      <c r="E3" s="2"/>
      <c r="F3" s="2"/>
      <c r="G3" s="2"/>
    </row>
    <row r="4" ht="30.0" customHeight="1">
      <c r="A4" s="6"/>
    </row>
    <row r="6">
      <c r="A6" s="5" t="s">
        <v>10</v>
      </c>
      <c r="B6" s="5" t="s">
        <v>11</v>
      </c>
      <c r="C6" s="5" t="s">
        <v>12</v>
      </c>
      <c r="D6" s="5" t="s">
        <v>15</v>
      </c>
      <c r="E6" s="5" t="s">
        <v>16</v>
      </c>
    </row>
    <row r="7" ht="39.75" customHeight="1">
      <c r="A7" s="13" t="s">
        <v>17</v>
      </c>
      <c r="B7" s="15">
        <v>6.0</v>
      </c>
      <c r="C7" s="15">
        <v>6.0</v>
      </c>
      <c r="D7" s="17" t="s">
        <v>27</v>
      </c>
      <c r="E7" s="15" t="str">
        <f t="shared" ref="E7:E14" si="1">IF(B7=C7,"Completo","Revisar")</f>
        <v>Completo</v>
      </c>
    </row>
    <row r="8" ht="39.75" customHeight="1">
      <c r="A8" s="13" t="s">
        <v>54</v>
      </c>
      <c r="B8" s="15">
        <v>14.0</v>
      </c>
      <c r="C8" s="15">
        <v>14.0</v>
      </c>
      <c r="D8" s="17" t="s">
        <v>58</v>
      </c>
      <c r="E8" s="15" t="str">
        <f t="shared" si="1"/>
        <v>Completo</v>
      </c>
    </row>
    <row r="9" ht="39.75" customHeight="1">
      <c r="A9" s="13" t="s">
        <v>63</v>
      </c>
      <c r="B9" s="15">
        <v>24.0</v>
      </c>
      <c r="C9" s="15">
        <v>24.0</v>
      </c>
      <c r="D9" s="17" t="s">
        <v>66</v>
      </c>
      <c r="E9" s="15" t="str">
        <f t="shared" si="1"/>
        <v>Completo</v>
      </c>
    </row>
    <row r="10" ht="39.75" customHeight="1">
      <c r="A10" s="13" t="s">
        <v>70</v>
      </c>
      <c r="B10" s="15">
        <v>4.0</v>
      </c>
      <c r="C10" s="15">
        <v>4.0</v>
      </c>
      <c r="D10" s="17" t="s">
        <v>73</v>
      </c>
      <c r="E10" s="15" t="str">
        <f t="shared" si="1"/>
        <v>Completo</v>
      </c>
    </row>
    <row r="11" ht="39.75" customHeight="1">
      <c r="A11" s="13" t="s">
        <v>78</v>
      </c>
      <c r="B11" s="15">
        <v>14.0</v>
      </c>
      <c r="C11" s="15">
        <v>14.0</v>
      </c>
      <c r="D11" s="17" t="s">
        <v>81</v>
      </c>
      <c r="E11" s="15" t="str">
        <f t="shared" si="1"/>
        <v>Completo</v>
      </c>
    </row>
    <row r="12" ht="39.75" customHeight="1">
      <c r="A12" s="13" t="s">
        <v>85</v>
      </c>
      <c r="B12" s="15">
        <v>6.0</v>
      </c>
      <c r="C12" s="15">
        <v>6.0</v>
      </c>
      <c r="D12" s="17" t="s">
        <v>88</v>
      </c>
      <c r="E12" s="15" t="str">
        <f t="shared" si="1"/>
        <v>Completo</v>
      </c>
    </row>
    <row r="13" ht="39.75" customHeight="1">
      <c r="A13" s="13" t="s">
        <v>93</v>
      </c>
      <c r="B13" s="15">
        <v>10.0</v>
      </c>
      <c r="C13" s="15">
        <v>10.0</v>
      </c>
      <c r="D13" s="17" t="s">
        <v>95</v>
      </c>
      <c r="E13" s="15" t="str">
        <f t="shared" si="1"/>
        <v>Completo</v>
      </c>
    </row>
    <row r="14" ht="39.75" customHeight="1">
      <c r="A14" s="13" t="s">
        <v>97</v>
      </c>
      <c r="B14" s="15">
        <v>8.0</v>
      </c>
      <c r="C14" s="15">
        <v>8.0</v>
      </c>
      <c r="D14" s="17" t="s">
        <v>99</v>
      </c>
      <c r="E14" s="15" t="str">
        <f t="shared" si="1"/>
        <v>Completo</v>
      </c>
    </row>
    <row r="15">
      <c r="A15" s="16" t="s">
        <v>102</v>
      </c>
      <c r="B15" s="27"/>
      <c r="E15" s="18" t="str">
        <f>IF(COUNTIF(E7:E14,"Completo")=8,"Regla del 100% verificada","Revisar")</f>
        <v>Regla del 100% verificada</v>
      </c>
    </row>
    <row r="17">
      <c r="A17" s="24" t="s">
        <v>135</v>
      </c>
    </row>
    <row r="18" ht="30.0" customHeight="1">
      <c r="A18" s="26" t="s">
        <v>141</v>
      </c>
      <c r="B18" s="25" t="s">
        <v>145</v>
      </c>
      <c r="C18" s="21"/>
      <c r="D18" s="21"/>
      <c r="E18" s="22"/>
    </row>
    <row r="19" ht="30.0" customHeight="1">
      <c r="A19" s="26" t="s">
        <v>149</v>
      </c>
      <c r="B19" s="25" t="s">
        <v>150</v>
      </c>
      <c r="C19" s="21"/>
      <c r="D19" s="21"/>
      <c r="E19" s="22"/>
    </row>
    <row r="20" ht="30.0" customHeight="1">
      <c r="A20" s="26" t="s">
        <v>156</v>
      </c>
      <c r="B20" s="25" t="s">
        <v>157</v>
      </c>
      <c r="C20" s="21"/>
      <c r="D20" s="21"/>
      <c r="E20" s="22"/>
    </row>
    <row r="21" ht="30.0" customHeight="1">
      <c r="A21" s="26" t="s">
        <v>162</v>
      </c>
      <c r="B21" s="25" t="s">
        <v>163</v>
      </c>
      <c r="C21" s="21"/>
      <c r="D21" s="21"/>
      <c r="E21" s="22"/>
    </row>
    <row r="22" ht="30.0" customHeight="1">
      <c r="A22" s="26" t="s">
        <v>169</v>
      </c>
      <c r="B22" s="25" t="s">
        <v>170</v>
      </c>
      <c r="C22" s="21"/>
      <c r="D22" s="21"/>
      <c r="E22" s="22"/>
    </row>
    <row r="23" ht="30.0" customHeight="1">
      <c r="A23" s="26" t="s">
        <v>177</v>
      </c>
      <c r="B23" s="25" t="s">
        <v>178</v>
      </c>
      <c r="C23" s="21"/>
      <c r="D23" s="21"/>
      <c r="E23" s="22"/>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E4"/>
    <mergeCell ref="B15:D15"/>
    <mergeCell ref="B18:E18"/>
    <mergeCell ref="B19:E19"/>
    <mergeCell ref="B20:E20"/>
    <mergeCell ref="B21:E21"/>
    <mergeCell ref="B22:E22"/>
    <mergeCell ref="B23:E23"/>
  </mergeCell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14.0"/>
    <col customWidth="1" min="3" max="3" width="100.0"/>
    <col customWidth="1" min="4" max="26" width="8.71"/>
  </cols>
  <sheetData>
    <row r="1">
      <c r="C1" s="1"/>
      <c r="D1" s="1"/>
      <c r="E1" s="1"/>
      <c r="F1" s="1"/>
      <c r="G1" s="1"/>
    </row>
    <row r="2">
      <c r="C2" s="3" t="s">
        <v>393</v>
      </c>
      <c r="D2" s="1"/>
      <c r="E2" s="1"/>
      <c r="F2" s="1"/>
      <c r="G2" s="1"/>
    </row>
    <row r="3">
      <c r="C3" s="1"/>
      <c r="D3" s="1"/>
      <c r="E3" s="1"/>
      <c r="F3" s="1"/>
      <c r="G3" s="1"/>
    </row>
    <row r="4">
      <c r="A4" s="5" t="s">
        <v>394</v>
      </c>
      <c r="B4" s="5" t="s">
        <v>395</v>
      </c>
      <c r="C4" s="5" t="s">
        <v>396</v>
      </c>
    </row>
    <row r="5" ht="30.0" customHeight="1">
      <c r="A5" s="15" t="s">
        <v>397</v>
      </c>
      <c r="B5" s="15" t="s">
        <v>398</v>
      </c>
      <c r="C5" s="17" t="s">
        <v>399</v>
      </c>
    </row>
    <row r="6" ht="30.0" customHeight="1">
      <c r="A6" s="15" t="s">
        <v>400</v>
      </c>
      <c r="B6" s="15" t="s">
        <v>401</v>
      </c>
      <c r="C6" s="17" t="s">
        <v>402</v>
      </c>
    </row>
    <row r="7" ht="30.0" customHeight="1">
      <c r="A7" s="15" t="s">
        <v>403</v>
      </c>
      <c r="B7" s="15" t="s">
        <v>404</v>
      </c>
      <c r="C7" s="17" t="s">
        <v>405</v>
      </c>
    </row>
    <row r="8" ht="75.0" customHeight="1">
      <c r="A8" s="15" t="s">
        <v>412</v>
      </c>
      <c r="B8" s="15" t="s">
        <v>413</v>
      </c>
      <c r="C8" s="17" t="s">
        <v>414</v>
      </c>
    </row>
    <row r="9" ht="45.0" customHeight="1">
      <c r="A9" s="15" t="s">
        <v>409</v>
      </c>
      <c r="B9" s="15" t="s">
        <v>410</v>
      </c>
      <c r="C9" s="17" t="s">
        <v>411</v>
      </c>
    </row>
    <row r="10" ht="30.0" customHeight="1">
      <c r="A10" s="15" t="s">
        <v>406</v>
      </c>
      <c r="B10" s="15" t="s">
        <v>407</v>
      </c>
      <c r="C10" s="17" t="s">
        <v>408</v>
      </c>
    </row>
    <row r="11" ht="45.0" customHeight="1">
      <c r="A11" s="15" t="s">
        <v>419</v>
      </c>
      <c r="B11" s="15" t="s">
        <v>420</v>
      </c>
      <c r="C11" s="17"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2026-10-01T03:19:55Z</dcterms:created>
  <dc:creator>openpyxl</dc:creator>
</cp:coreProperties>
</file>

<file path=docProps/custom.xml><?xml version="1.0" encoding="utf-8"?>
<Properties xmlns="http://schemas.openxmlformats.org/officeDocument/2006/custom-properties" xmlns:vt="http://schemas.openxmlformats.org/officeDocument/2006/docPropsVTypes"/>
</file>