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 Backlog" sheetId="1" state="visible" r:id="rId1"/>
    <sheet xmlns:r="http://schemas.openxmlformats.org/officeDocument/2006/relationships" name="Resumen por iteración" sheetId="2" state="visible" r:id="rId2"/>
    <sheet xmlns:r="http://schemas.openxmlformats.org/officeDocument/2006/relationships" name="Conteo" sheetId="3" state="visible" r:id="rId3"/>
    <sheet xmlns:r="http://schemas.openxmlformats.org/officeDocument/2006/relationships" name="Tareas" sheetId="4" state="visible" r:id="rId4"/>
    <sheet xmlns:r="http://schemas.openxmlformats.org/officeDocument/2006/relationships" name="Notas" sheetId="5" state="visible" r:id="rId5"/>
  </sheets>
  <definedNames>
    <definedName name="_xlnm._FilterDatabase" localSheetId="0" hidden="1">'Product Backlog'!$A$5:$L$129</definedName>
    <definedName name="_xlnm._FilterDatabase" localSheetId="3" hidden="1">'Tareas'!$A$4:$F$78</definedName>
    <definedName name="_xlnm.Print_Titles" localSheetId="3">'Tareas'!$4:$4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Calibri"/>
      <b val="1"/>
      <color rgb="FF000000"/>
      <sz val="14"/>
    </font>
    <font>
      <name val="Calibri"/>
      <color theme="1"/>
      <sz val="11"/>
    </font>
    <font>
      <name val="Calibri"/>
      <color rgb="FF595959"/>
      <sz val="10"/>
    </font>
    <font>
      <name val="Calibri"/>
      <b val="1"/>
      <color rgb="FF000000"/>
      <sz val="16"/>
    </font>
    <font>
      <name val="Calibri"/>
      <color rgb="FF000000"/>
      <sz val="11"/>
    </font>
    <font>
      <name val="Calibri"/>
      <color theme="1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color theme="1"/>
      <sz val="10"/>
    </font>
    <font>
      <name val="Calibri"/>
      <b val="1"/>
      <color rgb="FF000000"/>
      <sz val="10"/>
    </font>
    <font>
      <name val="Calibri"/>
      <b val="1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0" fontId="5" fillId="2" borderId="1" applyAlignment="1" pivotButton="0" quotePrefix="0" xfId="0">
      <alignment vertical="bottom"/>
    </xf>
    <xf numFmtId="0" fontId="6" fillId="2" borderId="0" pivotButton="0" quotePrefix="0" xfId="0"/>
    <xf numFmtId="0" fontId="7" fillId="3" borderId="2" applyAlignment="1" pivotButton="0" quotePrefix="0" xfId="0">
      <alignment horizontal="center" vertical="bottom" wrapText="1"/>
    </xf>
    <xf numFmtId="0" fontId="8" fillId="2" borderId="1" applyAlignment="1" pivotButton="0" quotePrefix="0" xfId="0">
      <alignment vertical="bottom"/>
    </xf>
    <xf numFmtId="0" fontId="9" fillId="0" borderId="2" applyAlignment="1" pivotButton="0" quotePrefix="0" xfId="0">
      <alignment horizontal="center" vertical="bottom"/>
    </xf>
    <xf numFmtId="0" fontId="10" fillId="0" borderId="0" applyAlignment="1" pivotButton="0" quotePrefix="0" xfId="0">
      <alignment vertical="bottom"/>
    </xf>
    <xf numFmtId="0" fontId="7" fillId="3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0" fillId="4" borderId="2" applyAlignment="1" pivotButton="0" quotePrefix="0" xfId="0">
      <alignment horizontal="center" vertical="top" wrapText="1"/>
    </xf>
    <xf numFmtId="0" fontId="11" fillId="5" borderId="2" applyAlignment="1" pivotButton="0" quotePrefix="0" xfId="0">
      <alignment vertical="top" wrapText="1"/>
    </xf>
    <xf numFmtId="0" fontId="11" fillId="5" borderId="2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9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vertical="top" wrapText="1"/>
    </xf>
    <xf numFmtId="0" fontId="3" fillId="0" borderId="2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bottom"/>
    </xf>
    <xf numFmtId="0" fontId="2" fillId="0" borderId="2" applyAlignment="1" pivotButton="0" quotePrefix="0" xfId="0">
      <alignment horizontal="center" vertical="bottom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90650" cy="342900"/>
    <pic>
      <nvPicPr>
        <cNvPr id="0" name="image1.jp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7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/>
  <cols>
    <col width="9" customWidth="1" style="29" min="1" max="1"/>
    <col width="15" customWidth="1" style="29" min="2" max="2"/>
    <col width="30" customWidth="1" style="29" min="3" max="3"/>
    <col width="46" customWidth="1" style="29" min="4" max="4"/>
    <col width="50" customWidth="1" style="29" min="5" max="5"/>
    <col width="11" customWidth="1" style="29" min="6" max="6"/>
    <col width="10" customWidth="1" style="29" min="7" max="7"/>
    <col width="12" customWidth="1" style="29" min="8" max="8"/>
    <col width="11" customWidth="1" style="29" min="9" max="9"/>
    <col width="20" customWidth="1" style="29" min="10" max="10"/>
    <col width="10" customWidth="1" style="29" min="11" max="11"/>
    <col width="16" customWidth="1" style="29" min="12" max="12"/>
  </cols>
  <sheetData>
    <row r="1" ht="24" customHeight="1" s="29">
      <c r="A1" s="2" t="n"/>
      <c r="B1" s="2" t="n"/>
      <c r="C1" s="6" t="inlineStr">
        <is>
          <t>Product Backlog - Lista de producto</t>
        </is>
      </c>
      <c r="D1" s="7" t="n"/>
      <c r="E1" s="7" t="n"/>
      <c r="F1" s="7" t="n"/>
      <c r="G1" s="7" t="n"/>
      <c r="H1" s="2" t="n"/>
      <c r="I1" s="2" t="n"/>
      <c r="J1" s="2" t="n"/>
      <c r="K1" s="2" t="n"/>
      <c r="L1" s="2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" customHeight="1" s="29">
      <c r="A2" s="2" t="n"/>
      <c r="B2" s="2" t="n"/>
      <c r="C2" s="10" t="inlineStr">
        <is>
          <t>App móvil Aprueba - Módulo de Preguntas · Grupo 9 · PTY4614 Capstone, sección 002D</t>
        </is>
      </c>
      <c r="D2" s="7" t="n"/>
      <c r="E2" s="7" t="n"/>
      <c r="F2" s="7" t="n"/>
      <c r="G2" s="7" t="n"/>
      <c r="H2" s="2" t="n"/>
      <c r="I2" s="2" t="n"/>
      <c r="J2" s="2" t="n"/>
      <c r="K2" s="2" t="n"/>
      <c r="L2" s="2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" customHeight="1" s="29">
      <c r="A3" s="2" t="n"/>
      <c r="B3" s="2" t="n"/>
      <c r="C3" s="10" t="inlineStr">
        <is>
          <t>Metodología: Extreme Programming · Versión 2.10 · 29 de octubre de 2026</t>
        </is>
      </c>
      <c r="D3" s="7" t="n"/>
      <c r="E3" s="7" t="n"/>
      <c r="F3" s="7" t="n"/>
      <c r="G3" s="7" t="n"/>
      <c r="H3" s="2" t="n"/>
      <c r="I3" s="2" t="n"/>
      <c r="J3" s="2" t="n"/>
      <c r="K3" s="2" t="n"/>
      <c r="L3" s="2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49.5" customHeight="1" s="29">
      <c r="A5" s="13" t="inlineStr">
        <is>
          <t>ID</t>
        </is>
      </c>
      <c r="B5" s="13" t="inlineStr">
        <is>
          <t>Tipo</t>
        </is>
      </c>
      <c r="C5" s="13" t="inlineStr">
        <is>
          <t>Título</t>
        </is>
      </c>
      <c r="D5" s="13" t="inlineStr">
        <is>
          <t>Descripción</t>
        </is>
      </c>
      <c r="E5" s="13" t="inlineStr">
        <is>
          <t>Criterios de aceptación</t>
        </is>
      </c>
      <c r="F5" s="13" t="inlineStr">
        <is>
          <t>Valor para el cliente</t>
        </is>
      </c>
      <c r="G5" s="13" t="inlineStr">
        <is>
          <t>Estimación (pts)</t>
        </is>
      </c>
      <c r="H5" s="13" t="inlineStr">
        <is>
          <t>Iteración</t>
        </is>
      </c>
      <c r="I5" s="13" t="inlineStr">
        <is>
          <t>Estado</t>
        </is>
      </c>
      <c r="J5" s="13" t="inlineStr">
        <is>
          <t>Responsable</t>
        </is>
      </c>
      <c r="K5" s="13" t="inlineStr">
        <is>
          <t>Objetivo específico</t>
        </is>
      </c>
      <c r="L5" s="13" t="inlineStr">
        <is>
          <t>Paquete EDT</t>
        </is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6" customHeight="1" s="29">
      <c r="A6" s="16" t="inlineStr">
        <is>
          <t>E1</t>
        </is>
      </c>
      <c r="B6" s="16" t="inlineStr">
        <is>
          <t>Épica</t>
        </is>
      </c>
      <c r="C6" s="16" t="inlineStr">
        <is>
          <t>Plataforma y datos</t>
        </is>
      </c>
      <c r="D6" s="16" t="inlineStr">
        <is>
          <t>Habilitadores técnicos que sostienen el resto del producto</t>
        </is>
      </c>
      <c r="E6" s="16" t="n"/>
      <c r="F6" s="17" t="n"/>
      <c r="G6" s="17" t="n"/>
      <c r="H6" s="17" t="n"/>
      <c r="I6" s="17" t="n"/>
      <c r="J6" s="16" t="n"/>
      <c r="K6" s="17" t="n"/>
      <c r="L6" s="16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6" customHeight="1" s="29">
      <c r="A7" s="19" t="inlineStr">
        <is>
          <t>F1.1</t>
        </is>
      </c>
      <c r="B7" s="19" t="inlineStr">
        <is>
          <t>Característica</t>
        </is>
      </c>
      <c r="C7" s="19" t="inlineStr">
        <is>
          <t>Entorno y despliegue</t>
        </is>
      </c>
      <c r="D7" s="19" t="n"/>
      <c r="E7" s="19" t="n"/>
      <c r="F7" s="20" t="n"/>
      <c r="G7" s="20" t="n"/>
      <c r="H7" s="20" t="n"/>
      <c r="I7" s="20" t="n"/>
      <c r="J7" s="19" t="n"/>
      <c r="K7" s="20" t="n"/>
      <c r="L7" s="19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42" customHeight="1" s="29">
      <c r="A8" s="22" t="inlineStr">
        <is>
          <t>HT-01</t>
        </is>
      </c>
      <c r="B8" s="22" t="inlineStr">
        <is>
          <t>Historia técnica</t>
        </is>
      </c>
      <c r="C8" s="22" t="inlineStr">
        <is>
          <t>Despliegue de la aplicación y de la API</t>
        </is>
      </c>
      <c r="D8" s="22" t="inlineStr">
        <is>
          <t>Como equipo de desarrollo, queremos desplegar la aplicación web y la API para que el cliente pueda revisar el avance desde un enlace.</t>
        </is>
      </c>
      <c r="E8" s="22" t="inlineStr">
        <is>
          <t>La compilación web y la API responden en Vercel, desde proyectos separados y sin secretos versionados.</t>
        </is>
      </c>
      <c r="F8" s="23" t="inlineStr">
        <is>
          <t>Alta</t>
        </is>
      </c>
      <c r="G8" s="23" t="n">
        <v>4</v>
      </c>
      <c r="H8" s="23" t="inlineStr">
        <is>
          <t>Iteración 1</t>
        </is>
      </c>
      <c r="I8" s="23" t="inlineStr">
        <is>
          <t>Hecho</t>
        </is>
      </c>
      <c r="J8" s="22" t="inlineStr">
        <is>
          <t>Jeremías Fernández</t>
        </is>
      </c>
      <c r="K8" s="23" t="inlineStr">
        <is>
          <t>OE2</t>
        </is>
      </c>
      <c r="L8" s="22" t="inlineStr">
        <is>
          <t>1.3.1.3</t>
        </is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9" customHeight="1" s="29">
      <c r="A9" s="24" t="inlineStr">
        <is>
          <t>T-02</t>
        </is>
      </c>
      <c r="B9" s="24" t="inlineStr">
        <is>
          <t>Tarea</t>
        </is>
      </c>
      <c r="C9" s="24" t="inlineStr">
        <is>
          <t>Crear el repositorio y las convenciones de ramas</t>
        </is>
      </c>
      <c r="D9" s="24" t="n"/>
      <c r="E9" s="24" t="n"/>
      <c r="F9" s="25" t="n"/>
      <c r="G9" s="25" t="n"/>
      <c r="H9" s="25" t="inlineStr">
        <is>
          <t>Iteración 1</t>
        </is>
      </c>
      <c r="I9" s="25" t="inlineStr">
        <is>
          <t>Hecho</t>
        </is>
      </c>
      <c r="J9" s="24" t="inlineStr">
        <is>
          <t>Jeremías Fernández</t>
        </is>
      </c>
      <c r="K9" s="25" t="n"/>
      <c r="L9" s="2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6" customHeight="1" s="29">
      <c r="A10" s="24" t="inlineStr">
        <is>
          <t>T-03</t>
        </is>
      </c>
      <c r="B10" s="24" t="inlineStr">
        <is>
          <t>Tarea</t>
        </is>
      </c>
      <c r="C10" s="24" t="inlineStr">
        <is>
          <t>Desplegar la compilación web en Vercel</t>
        </is>
      </c>
      <c r="D10" s="24" t="n"/>
      <c r="E10" s="24" t="n"/>
      <c r="F10" s="25" t="n"/>
      <c r="G10" s="25" t="n"/>
      <c r="H10" s="25" t="inlineStr">
        <is>
          <t>Iteración 1</t>
        </is>
      </c>
      <c r="I10" s="25" t="inlineStr">
        <is>
          <t>Hecho</t>
        </is>
      </c>
      <c r="J10" s="24" t="inlineStr">
        <is>
          <t>Jeremías Fernández</t>
        </is>
      </c>
      <c r="K10" s="25" t="n"/>
      <c r="L10" s="2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9" customHeight="1" s="29">
      <c r="A11" s="24" t="inlineStr">
        <is>
          <t>T-04</t>
        </is>
      </c>
      <c r="B11" s="24" t="inlineStr">
        <is>
          <t>Tarea</t>
        </is>
      </c>
      <c r="C11" s="24" t="inlineStr">
        <is>
          <t>Desplegar la API en un proyecto separado de Vercel</t>
        </is>
      </c>
      <c r="D11" s="24" t="n"/>
      <c r="E11" s="24" t="n"/>
      <c r="F11" s="25" t="n"/>
      <c r="G11" s="25" t="n"/>
      <c r="H11" s="25" t="inlineStr">
        <is>
          <t>Iteración 1</t>
        </is>
      </c>
      <c r="I11" s="25" t="inlineStr">
        <is>
          <t>Hecho</t>
        </is>
      </c>
      <c r="J11" s="24" t="inlineStr">
        <is>
          <t>Jeremías Fernández</t>
        </is>
      </c>
      <c r="K11" s="25" t="n"/>
      <c r="L11" s="2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42" customHeight="1" s="29">
      <c r="A12" s="22" t="inlineStr">
        <is>
          <t>HT-06</t>
        </is>
      </c>
      <c r="B12" s="22" t="inlineStr">
        <is>
          <t>Historia técnica</t>
        </is>
      </c>
      <c r="C12" s="22" t="inlineStr">
        <is>
          <t>Entorno verificado en los tres equipos</t>
        </is>
      </c>
      <c r="D12" s="22" t="inlineStr">
        <is>
          <t>Como equipo de desarrollo, queremos que la aplicación funcione en los equipos de los tres integrantes para que todos puedan programar y probar.</t>
        </is>
      </c>
      <c r="E12" s="22" t="inlineStr">
        <is>
          <t>La aplicación compila y se ejecuta en los tres equipos siguiendo el README. Se separa de HT-01 en el cierre de la iteración 1.</t>
        </is>
      </c>
      <c r="F12" s="23" t="inlineStr">
        <is>
          <t>Alta</t>
        </is>
      </c>
      <c r="G12" s="23" t="n">
        <v>1</v>
      </c>
      <c r="H12" s="23" t="inlineStr">
        <is>
          <t>Iteración 5</t>
        </is>
      </c>
      <c r="I12" s="23" t="inlineStr">
        <is>
          <t>Hecho</t>
        </is>
      </c>
      <c r="J12" s="22" t="inlineStr">
        <is>
          <t>Equipo completo</t>
        </is>
      </c>
      <c r="K12" s="23" t="inlineStr">
        <is>
          <t>OE2</t>
        </is>
      </c>
      <c r="L12" s="22" t="inlineStr">
        <is>
          <t>1.3.1.1</t>
        </is>
      </c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9" customHeight="1" s="29">
      <c r="A13" s="24" t="inlineStr">
        <is>
          <t>T-01</t>
        </is>
      </c>
      <c r="B13" s="24" t="inlineStr">
        <is>
          <t>Tarea</t>
        </is>
      </c>
      <c r="C13" s="24" t="inlineStr">
        <is>
          <t>Instalar y ejecutar el proyecto en los tres equipos</t>
        </is>
      </c>
      <c r="D13" s="24" t="n"/>
      <c r="E13" s="24" t="n"/>
      <c r="F13" s="25" t="n"/>
      <c r="G13" s="25" t="n"/>
      <c r="H13" s="25" t="inlineStr">
        <is>
          <t>Iteración 5</t>
        </is>
      </c>
      <c r="I13" s="25" t="inlineStr">
        <is>
          <t>Hecho</t>
        </is>
      </c>
      <c r="J13" s="24" t="inlineStr">
        <is>
          <t>Equipo completo</t>
        </is>
      </c>
      <c r="K13" s="25" t="n"/>
      <c r="L13" s="2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42" customHeight="1" s="29">
      <c r="A14" s="22" t="inlineStr">
        <is>
          <t>HT-03</t>
        </is>
      </c>
      <c r="B14" s="22" t="inlineStr">
        <is>
          <t>Historia técnica</t>
        </is>
      </c>
      <c r="C14" s="22" t="inlineStr">
        <is>
          <t>Contenedores Docker</t>
        </is>
      </c>
      <c r="D14" s="22" t="inlineStr">
        <is>
          <t>Como equipo de desarrollo, queremos el proyecto en contenedores para que cualquier persona pueda levantarlo de forma reproducible.</t>
        </is>
      </c>
      <c r="E14" s="22" t="inlineStr">
        <is>
          <t>El backend y el emulador de Firestore se levantan con docker-compose, sin secretos versionados, y el procedimiento queda documentado.</t>
        </is>
      </c>
      <c r="F14" s="23" t="inlineStr">
        <is>
          <t>Alta</t>
        </is>
      </c>
      <c r="G14" s="23" t="n">
        <v>3</v>
      </c>
      <c r="H14" s="23" t="inlineStr">
        <is>
          <t>Iteración 5</t>
        </is>
      </c>
      <c r="I14" s="23" t="inlineStr">
        <is>
          <t>Hecho</t>
        </is>
      </c>
      <c r="J14" s="22" t="inlineStr">
        <is>
          <t>Jeremías Fernández</t>
        </is>
      </c>
      <c r="K14" s="23" t="inlineStr">
        <is>
          <t>OE4</t>
        </is>
      </c>
      <c r="L14" s="22" t="inlineStr">
        <is>
          <t>1.3.6.4</t>
        </is>
      </c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9" customHeight="1" s="29">
      <c r="A15" s="24" t="inlineStr">
        <is>
          <t>T-33</t>
        </is>
      </c>
      <c r="B15" s="24" t="inlineStr">
        <is>
          <t>Tarea</t>
        </is>
      </c>
      <c r="C15" s="24" t="inlineStr">
        <is>
          <t>Dockerfile del backend y docker-compose con el emulador de Firestore</t>
        </is>
      </c>
      <c r="D15" s="24" t="n"/>
      <c r="E15" s="24" t="n"/>
      <c r="F15" s="25" t="n"/>
      <c r="G15" s="25" t="n"/>
      <c r="H15" s="25" t="inlineStr">
        <is>
          <t>Iteración 5</t>
        </is>
      </c>
      <c r="I15" s="25" t="inlineStr">
        <is>
          <t>Hecho</t>
        </is>
      </c>
      <c r="J15" s="24" t="inlineStr">
        <is>
          <t>Jeremías Fernández</t>
        </is>
      </c>
      <c r="K15" s="25" t="n"/>
      <c r="L15" s="2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9" customHeight="1" s="29">
      <c r="A16" s="24" t="inlineStr">
        <is>
          <t>T-34</t>
        </is>
      </c>
      <c r="B16" s="24" t="inlineStr">
        <is>
          <t>Tarea</t>
        </is>
      </c>
      <c r="C16" s="24" t="inlineStr">
        <is>
          <t>Levantar el proyecto con contenedores siguiendo solo la documentación</t>
        </is>
      </c>
      <c r="D16" s="24" t="n"/>
      <c r="E16" s="24" t="n"/>
      <c r="F16" s="25" t="n"/>
      <c r="G16" s="25" t="n"/>
      <c r="H16" s="25" t="inlineStr">
        <is>
          <t>Iteración 5</t>
        </is>
      </c>
      <c r="I16" s="25" t="inlineStr">
        <is>
          <t>Hecho</t>
        </is>
      </c>
      <c r="J16" s="24" t="inlineStr">
        <is>
          <t>Martin Espinoza</t>
        </is>
      </c>
      <c r="K16" s="25" t="n"/>
      <c r="L16" s="2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6" customHeight="1" s="29">
      <c r="A17" s="19" t="inlineStr">
        <is>
          <t>F1.2</t>
        </is>
      </c>
      <c r="B17" s="19" t="inlineStr">
        <is>
          <t>Característica</t>
        </is>
      </c>
      <c r="C17" s="19" t="inlineStr">
        <is>
          <t>Modelo de datos</t>
        </is>
      </c>
      <c r="D17" s="19" t="n"/>
      <c r="E17" s="19" t="n"/>
      <c r="F17" s="20" t="n"/>
      <c r="G17" s="20" t="n"/>
      <c r="H17" s="20" t="n"/>
      <c r="I17" s="20" t="n"/>
      <c r="J17" s="19" t="n"/>
      <c r="K17" s="20" t="n"/>
      <c r="L17" s="19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55" customHeight="1" s="29">
      <c r="A18" s="22" t="inlineStr">
        <is>
          <t>HU-20</t>
        </is>
      </c>
      <c r="B18" s="22" t="inlineStr">
        <is>
          <t>Historia técnica</t>
        </is>
      </c>
      <c r="C18" s="22" t="inlineStr">
        <is>
          <t>Modelo de datos y modelos de dominio</t>
        </is>
      </c>
      <c r="D18" s="22" t="inlineStr">
        <is>
          <t>Como equipo de desarrollo, queremos definir el modelo de datos del módulo y los modelos de dominio del cliente para que las pantallas y los servicios trabajen sobre una misma definición.</t>
        </is>
      </c>
      <c r="E18" s="22" t="inlineStr">
        <is>
          <t>Las colecciones, el esquema local y los modelos de dominio están definidos, y sus pruebas unitarias de serialización pasan.</t>
        </is>
      </c>
      <c r="F18" s="23" t="inlineStr">
        <is>
          <t>Alta</t>
        </is>
      </c>
      <c r="G18" s="23" t="n">
        <v>5</v>
      </c>
      <c r="H18" s="23" t="inlineStr">
        <is>
          <t>Iteración 2</t>
        </is>
      </c>
      <c r="I18" s="23" t="inlineStr">
        <is>
          <t>Hecho</t>
        </is>
      </c>
      <c r="J18" s="22" t="inlineStr">
        <is>
          <t>Jeremías Fernández</t>
        </is>
      </c>
      <c r="K18" s="23" t="inlineStr">
        <is>
          <t>OE1</t>
        </is>
      </c>
      <c r="L18" s="22" t="inlineStr">
        <is>
          <t>1.3.2.1 a 1.3.2.3</t>
        </is>
      </c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9" customHeight="1" s="29">
      <c r="A19" s="24" t="inlineStr">
        <is>
          <t>T-05</t>
        </is>
      </c>
      <c r="B19" s="24" t="inlineStr">
        <is>
          <t>Tarea</t>
        </is>
      </c>
      <c r="C19" s="24" t="inlineStr">
        <is>
          <t>Definir las colecciones y las reglas de seguridad de Firestore</t>
        </is>
      </c>
      <c r="D19" s="24" t="n"/>
      <c r="E19" s="24" t="n"/>
      <c r="F19" s="25" t="n"/>
      <c r="G19" s="25" t="n"/>
      <c r="H19" s="25" t="inlineStr">
        <is>
          <t>Iteración 2</t>
        </is>
      </c>
      <c r="I19" s="25" t="inlineStr">
        <is>
          <t>Hecho</t>
        </is>
      </c>
      <c r="J19" s="24" t="inlineStr">
        <is>
          <t>Jeremías Fernández</t>
        </is>
      </c>
      <c r="K19" s="25" t="n"/>
      <c r="L19" s="2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6" customHeight="1" s="29">
      <c r="A20" s="24" t="inlineStr">
        <is>
          <t>T-06</t>
        </is>
      </c>
      <c r="B20" s="24" t="inlineStr">
        <is>
          <t>Tarea</t>
        </is>
      </c>
      <c r="C20" s="24" t="inlineStr">
        <is>
          <t>Definir los índices compuestos</t>
        </is>
      </c>
      <c r="D20" s="24" t="n"/>
      <c r="E20" s="24" t="n"/>
      <c r="F20" s="25" t="n"/>
      <c r="G20" s="25" t="n"/>
      <c r="H20" s="25" t="inlineStr">
        <is>
          <t>Iteración 2</t>
        </is>
      </c>
      <c r="I20" s="25" t="inlineStr">
        <is>
          <t>Hecho</t>
        </is>
      </c>
      <c r="J20" s="24" t="inlineStr">
        <is>
          <t>Jeremías Fernández</t>
        </is>
      </c>
      <c r="K20" s="25" t="n"/>
      <c r="L20" s="2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6" customHeight="1" s="29">
      <c r="A21" s="24" t="inlineStr">
        <is>
          <t>T-07</t>
        </is>
      </c>
      <c r="B21" s="24" t="inlineStr">
        <is>
          <t>Tarea</t>
        </is>
      </c>
      <c r="C21" s="24" t="inlineStr">
        <is>
          <t>Revisar el esquema local de Drift</t>
        </is>
      </c>
      <c r="D21" s="24" t="n"/>
      <c r="E21" s="24" t="n"/>
      <c r="F21" s="25" t="n"/>
      <c r="G21" s="25" t="n"/>
      <c r="H21" s="25" t="inlineStr">
        <is>
          <t>Iteración 2</t>
        </is>
      </c>
      <c r="I21" s="25" t="inlineStr">
        <is>
          <t>Hecho</t>
        </is>
      </c>
      <c r="J21" s="24" t="inlineStr">
        <is>
          <t>Sebastián Acevedo</t>
        </is>
      </c>
      <c r="K21" s="25" t="n"/>
      <c r="L21" s="2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9" customHeight="1" s="29">
      <c r="A22" s="24" t="inlineStr">
        <is>
          <t>T-08</t>
        </is>
      </c>
      <c r="B22" s="24" t="inlineStr">
        <is>
          <t>Tarea</t>
        </is>
      </c>
      <c r="C22" s="24" t="inlineStr">
        <is>
          <t>Implementar los modelos de dominio con pruebas de serialización</t>
        </is>
      </c>
      <c r="D22" s="24" t="n"/>
      <c r="E22" s="24" t="n"/>
      <c r="F22" s="25" t="n"/>
      <c r="G22" s="25" t="n"/>
      <c r="H22" s="25" t="inlineStr">
        <is>
          <t>Iteración 2</t>
        </is>
      </c>
      <c r="I22" s="25" t="inlineStr">
        <is>
          <t>Hecho</t>
        </is>
      </c>
      <c r="J22" s="24" t="inlineStr">
        <is>
          <t>Jeremías / Sebastián</t>
        </is>
      </c>
      <c r="K22" s="25" t="n"/>
      <c r="L22" s="2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6" customHeight="1" s="29">
      <c r="A23" s="24" t="inlineStr">
        <is>
          <t>T-09</t>
        </is>
      </c>
      <c r="B23" s="24" t="inlineStr">
        <is>
          <t>Tarea</t>
        </is>
      </c>
      <c r="C23" s="24" t="inlineStr">
        <is>
          <t>Cargar el banco de demostración</t>
        </is>
      </c>
      <c r="D23" s="24" t="n"/>
      <c r="E23" s="24" t="n"/>
      <c r="F23" s="25" t="n"/>
      <c r="G23" s="25" t="n"/>
      <c r="H23" s="25" t="inlineStr">
        <is>
          <t>Iteración 2</t>
        </is>
      </c>
      <c r="I23" s="25" t="inlineStr">
        <is>
          <t>Hecho</t>
        </is>
      </c>
      <c r="J23" s="24" t="inlineStr">
        <is>
          <t>Jeremías Fernández</t>
        </is>
      </c>
      <c r="K23" s="25" t="n"/>
      <c r="L23" s="2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42" customHeight="1" s="29">
      <c r="A24" s="24" t="inlineStr">
        <is>
          <t>T-10</t>
        </is>
      </c>
      <c r="B24" s="24" t="inlineStr">
        <is>
          <t>Tarea</t>
        </is>
      </c>
      <c r="C24" s="24" t="inlineStr">
        <is>
          <t>Alinear recorrecciones, usuarios y medallas con la consola de administración</t>
        </is>
      </c>
      <c r="D24" s="24" t="n"/>
      <c r="E24" s="24" t="n"/>
      <c r="F24" s="25" t="n"/>
      <c r="G24" s="25" t="n"/>
      <c r="H24" s="25" t="inlineStr">
        <is>
          <t>Iteración 3</t>
        </is>
      </c>
      <c r="I24" s="25" t="inlineStr">
        <is>
          <t>Hecho</t>
        </is>
      </c>
      <c r="J24" s="24" t="inlineStr">
        <is>
          <t>Jeremías Fernández</t>
        </is>
      </c>
      <c r="K24" s="25" t="n"/>
      <c r="L24" s="2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29" customHeight="1" s="29">
      <c r="A25" s="24" t="inlineStr">
        <is>
          <t>T-42</t>
        </is>
      </c>
      <c r="B25" s="24" t="inlineStr">
        <is>
          <t>Tarea</t>
        </is>
      </c>
      <c r="C25" s="24" t="inlineStr">
        <is>
          <t>Corregir el contenido de tres preguntas del banco de demostración (H-12 a H-14)</t>
        </is>
      </c>
      <c r="D25" s="24" t="n"/>
      <c r="E25" s="24" t="n"/>
      <c r="F25" s="25" t="n"/>
      <c r="G25" s="25" t="n"/>
      <c r="H25" s="25" t="inlineStr">
        <is>
          <t>Iteración 6</t>
        </is>
      </c>
      <c r="I25" s="25" t="inlineStr">
        <is>
          <t>Hecho</t>
        </is>
      </c>
      <c r="J25" s="24" t="inlineStr">
        <is>
          <t>Jeremías Fernández</t>
        </is>
      </c>
      <c r="K25" s="25" t="n"/>
      <c r="L25" s="2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6" customHeight="1" s="29">
      <c r="A26" s="19" t="inlineStr">
        <is>
          <t>F1.3</t>
        </is>
      </c>
      <c r="B26" s="19" t="inlineStr">
        <is>
          <t>Característica</t>
        </is>
      </c>
      <c r="C26" s="19" t="inlineStr">
        <is>
          <t>Backend base</t>
        </is>
      </c>
      <c r="D26" s="19" t="n"/>
      <c r="E26" s="19" t="n"/>
      <c r="F26" s="20" t="n"/>
      <c r="G26" s="20" t="n"/>
      <c r="H26" s="20" t="n"/>
      <c r="I26" s="20" t="n"/>
      <c r="J26" s="19" t="n"/>
      <c r="K26" s="20" t="n"/>
      <c r="L26" s="19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42" customHeight="1" s="29">
      <c r="A27" s="22" t="inlineStr">
        <is>
          <t>HT-02</t>
        </is>
      </c>
      <c r="B27" s="22" t="inlineStr">
        <is>
          <t>Historia técnica</t>
        </is>
      </c>
      <c r="C27" s="22" t="inlineStr">
        <is>
          <t>Backend en FastAPI</t>
        </is>
      </c>
      <c r="D27" s="22" t="inlineStr">
        <is>
          <t>Como equipo de desarrollo, queremos el backend en FastAPI con las convenciones de la empresa para que sea consistente con su consola de administración.</t>
        </is>
      </c>
      <c r="E27" s="22" t="inlineStr">
        <is>
          <t>La API responde con la estructura común de respuesta y el catálogo de errores, y sus pruebas pasan.</t>
        </is>
      </c>
      <c r="F27" s="23" t="inlineStr">
        <is>
          <t>Alta</t>
        </is>
      </c>
      <c r="G27" s="23" t="n">
        <v>5</v>
      </c>
      <c r="H27" s="23" t="inlineStr">
        <is>
          <t>Iteración 3</t>
        </is>
      </c>
      <c r="I27" s="23" t="inlineStr">
        <is>
          <t>Hecho</t>
        </is>
      </c>
      <c r="J27" s="22" t="inlineStr">
        <is>
          <t>Jeremías Fernández</t>
        </is>
      </c>
      <c r="K27" s="23" t="inlineStr">
        <is>
          <t>OE2</t>
        </is>
      </c>
      <c r="L27" s="22" t="inlineStr">
        <is>
          <t>1.3.1.2</t>
        </is>
      </c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9" customHeight="1" s="29">
      <c r="A28" s="24" t="inlineStr">
        <is>
          <t>T-11</t>
        </is>
      </c>
      <c r="B28" s="24" t="inlineStr">
        <is>
          <t>Tarea</t>
        </is>
      </c>
      <c r="C28" s="24" t="inlineStr">
        <is>
          <t>Migrar la estructura base de Express a FastAPI</t>
        </is>
      </c>
      <c r="D28" s="24" t="n"/>
      <c r="E28" s="24" t="n"/>
      <c r="F28" s="25" t="n"/>
      <c r="G28" s="25" t="n"/>
      <c r="H28" s="25" t="inlineStr">
        <is>
          <t>Iteración 3</t>
        </is>
      </c>
      <c r="I28" s="25" t="inlineStr">
        <is>
          <t>Hecho</t>
        </is>
      </c>
      <c r="J28" s="24" t="inlineStr">
        <is>
          <t>Jeremías Fernández</t>
        </is>
      </c>
      <c r="K28" s="25" t="n"/>
      <c r="L28" s="2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29" customHeight="1" s="29">
      <c r="A29" s="24" t="inlineStr">
        <is>
          <t>T-12</t>
        </is>
      </c>
      <c r="B29" s="24" t="inlineStr">
        <is>
          <t>Tarea</t>
        </is>
      </c>
      <c r="C29" s="24" t="inlineStr">
        <is>
          <t>Implementar la estructura de respuesta y el catálogo de errores</t>
        </is>
      </c>
      <c r="D29" s="24" t="n"/>
      <c r="E29" s="24" t="n"/>
      <c r="F29" s="25" t="n"/>
      <c r="G29" s="25" t="n"/>
      <c r="H29" s="25" t="inlineStr">
        <is>
          <t>Iteración 3</t>
        </is>
      </c>
      <c r="I29" s="25" t="inlineStr">
        <is>
          <t>Hecho</t>
        </is>
      </c>
      <c r="J29" s="24" t="inlineStr">
        <is>
          <t>Jeremías Fernández</t>
        </is>
      </c>
      <c r="K29" s="25" t="n"/>
      <c r="L29" s="2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29" customHeight="1" s="29">
      <c r="A30" s="19" t="inlineStr">
        <is>
          <t>F1.4</t>
        </is>
      </c>
      <c r="B30" s="19" t="inlineStr">
        <is>
          <t>Característica</t>
        </is>
      </c>
      <c r="C30" s="19" t="inlineStr">
        <is>
          <t>Calidad e integración</t>
        </is>
      </c>
      <c r="D30" s="19" t="inlineStr">
        <is>
          <t>Restricciones técnicas transversales, verificadas en cada iteración mediante los criterios de terminado.</t>
        </is>
      </c>
      <c r="E30" s="19" t="n"/>
      <c r="F30" s="20" t="n"/>
      <c r="G30" s="20" t="n"/>
      <c r="H30" s="20" t="n"/>
      <c r="I30" s="20" t="n"/>
      <c r="J30" s="19" t="n"/>
      <c r="K30" s="20" t="n"/>
      <c r="L30" s="19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29" customHeight="1" s="29">
      <c r="A31" s="22" t="inlineStr">
        <is>
          <t>RT-01</t>
        </is>
      </c>
      <c r="B31" s="22" t="inlineStr">
        <is>
          <t>Restricción técnica</t>
        </is>
      </c>
      <c r="C31" s="22" t="inlineStr">
        <is>
          <t>Contrato de comunicación común</t>
        </is>
      </c>
      <c r="D31" s="22" t="inlineStr">
        <is>
          <t>Los servicios y la aplicación utilizan un contrato de comunicación común.</t>
        </is>
      </c>
      <c r="E31" s="22" t="inlineStr">
        <is>
          <t>Los servicios utilizan /api/v1, la estructura de respuesta definida y el catálogo común de errores.</t>
        </is>
      </c>
      <c r="F31" s="23" t="inlineStr">
        <is>
          <t>—</t>
        </is>
      </c>
      <c r="G31" s="23" t="inlineStr">
        <is>
          <t>—</t>
        </is>
      </c>
      <c r="H31" s="23" t="inlineStr">
        <is>
          <t>Iteraciones 2 a 10</t>
        </is>
      </c>
      <c r="I31" s="23" t="inlineStr">
        <is>
          <t>Transversal</t>
        </is>
      </c>
      <c r="J31" s="22" t="inlineStr">
        <is>
          <t>Equipo completo</t>
        </is>
      </c>
      <c r="K31" s="23" t="inlineStr">
        <is>
          <t>OE2</t>
        </is>
      </c>
      <c r="L31" s="22" t="inlineStr">
        <is>
          <t>Transversal</t>
        </is>
      </c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29" customHeight="1" s="29">
      <c r="A32" s="22" t="inlineStr">
        <is>
          <t>RT-02</t>
        </is>
      </c>
      <c r="B32" s="22" t="inlineStr">
        <is>
          <t>Restricción técnica</t>
        </is>
      </c>
      <c r="C32" s="22" t="inlineStr">
        <is>
          <t>Pruebas y análisis estático</t>
        </is>
      </c>
      <c r="D32" s="22" t="inlineStr">
        <is>
          <t>Cada incremento cuenta con pruebas unitarias y análisis estático antes de integrarse.</t>
        </is>
      </c>
      <c r="E32" s="22" t="inlineStr">
        <is>
          <t>Las pruebas pasan y el analizador no presenta advertencias antes de considerar terminado un incremento.</t>
        </is>
      </c>
      <c r="F32" s="23" t="inlineStr">
        <is>
          <t>—</t>
        </is>
      </c>
      <c r="G32" s="23" t="inlineStr">
        <is>
          <t>—</t>
        </is>
      </c>
      <c r="H32" s="23" t="inlineStr">
        <is>
          <t>Iteraciones 2 a 10</t>
        </is>
      </c>
      <c r="I32" s="23" t="inlineStr">
        <is>
          <t>Transversal</t>
        </is>
      </c>
      <c r="J32" s="22" t="inlineStr">
        <is>
          <t>Equipo completo</t>
        </is>
      </c>
      <c r="K32" s="23" t="inlineStr">
        <is>
          <t>OE4</t>
        </is>
      </c>
      <c r="L32" s="22" t="inlineStr">
        <is>
          <t>1.3.6.1 · 1.3.6.3</t>
        </is>
      </c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29" customHeight="1" s="29">
      <c r="A33" s="22" t="inlineStr">
        <is>
          <t>RT-03</t>
        </is>
      </c>
      <c r="B33" s="22" t="inlineStr">
        <is>
          <t>Restricción técnica</t>
        </is>
      </c>
      <c r="C33" s="22" t="inlineStr">
        <is>
          <t>Integración continua</t>
        </is>
      </c>
      <c r="D33" s="22" t="inlineStr">
        <is>
          <t>La aplicación y el backend se integran de forma continua para detectar incompatibilidades temprano.</t>
        </is>
      </c>
      <c r="E33" s="22" t="inlineStr">
        <is>
          <t>Los cambios ingresan por solicitud de incorporación revisada por otro integrante y cumplen los contratos establecidos.</t>
        </is>
      </c>
      <c r="F33" s="23" t="inlineStr">
        <is>
          <t>—</t>
        </is>
      </c>
      <c r="G33" s="23" t="inlineStr">
        <is>
          <t>—</t>
        </is>
      </c>
      <c r="H33" s="23" t="inlineStr">
        <is>
          <t>Iteraciones 3 a 10</t>
        </is>
      </c>
      <c r="I33" s="23" t="inlineStr">
        <is>
          <t>Transversal</t>
        </is>
      </c>
      <c r="J33" s="22" t="inlineStr">
        <is>
          <t>Equipo completo</t>
        </is>
      </c>
      <c r="K33" s="23" t="inlineStr">
        <is>
          <t>OE4</t>
        </is>
      </c>
      <c r="L33" s="22" t="inlineStr">
        <is>
          <t>1.3.6.2</t>
        </is>
      </c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29" customHeight="1" s="29">
      <c r="A34" s="22" t="inlineStr">
        <is>
          <t>RT-04</t>
        </is>
      </c>
      <c r="B34" s="22" t="inlineStr">
        <is>
          <t>Restricción técnica</t>
        </is>
      </c>
      <c r="C34" s="22" t="inlineStr">
        <is>
          <t>Errores como estados de interfaz</t>
        </is>
      </c>
      <c r="D34" s="22" t="inlineStr">
        <is>
          <t>Las restricciones de negocio se presentan al estudiante como estados de interfaz comprensibles.</t>
        </is>
      </c>
      <c r="E34" s="22" t="inlineStr">
        <is>
          <t>Los errores de negocio se traducen en estados de interfaz adecuados y no en errores genéricos.</t>
        </is>
      </c>
      <c r="F34" s="23" t="inlineStr">
        <is>
          <t>—</t>
        </is>
      </c>
      <c r="G34" s="23" t="inlineStr">
        <is>
          <t>—</t>
        </is>
      </c>
      <c r="H34" s="23" t="inlineStr">
        <is>
          <t>Iteraciones 3 a 10</t>
        </is>
      </c>
      <c r="I34" s="23" t="inlineStr">
        <is>
          <t>Transversal</t>
        </is>
      </c>
      <c r="J34" s="22" t="inlineStr">
        <is>
          <t>Sebastián Acevedo</t>
        </is>
      </c>
      <c r="K34" s="23" t="inlineStr">
        <is>
          <t>OE2</t>
        </is>
      </c>
      <c r="L34" s="22" t="inlineStr">
        <is>
          <t>Transversal</t>
        </is>
      </c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29" customHeight="1" s="29">
      <c r="A35" s="24" t="inlineStr">
        <is>
          <t>T-13</t>
        </is>
      </c>
      <c r="B35" s="24" t="inlineStr">
        <is>
          <t>Tarea</t>
        </is>
      </c>
      <c r="C35" s="24" t="inlineStr">
        <is>
          <t>Prueba que verifica que ninguna ruta entregue la alternativa correcta</t>
        </is>
      </c>
      <c r="D35" s="24" t="n"/>
      <c r="E35" s="24" t="n"/>
      <c r="F35" s="25" t="n"/>
      <c r="G35" s="25" t="n"/>
      <c r="H35" s="25" t="inlineStr">
        <is>
          <t>Iteración 3</t>
        </is>
      </c>
      <c r="I35" s="25" t="inlineStr">
        <is>
          <t>Hecho</t>
        </is>
      </c>
      <c r="J35" s="24" t="inlineStr">
        <is>
          <t>Jeremías Fernández</t>
        </is>
      </c>
      <c r="K35" s="25" t="n"/>
      <c r="L35" s="2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29" customHeight="1" s="29">
      <c r="A36" s="24" t="inlineStr">
        <is>
          <t>T-24</t>
        </is>
      </c>
      <c r="B36" s="24" t="inlineStr">
        <is>
          <t>Tarea</t>
        </is>
      </c>
      <c r="C36" s="24" t="inlineStr">
        <is>
          <t>Diseñar y ejecutar las pruebas de aceptación de la entrega funcional 1</t>
        </is>
      </c>
      <c r="D36" s="24" t="n"/>
      <c r="E36" s="24" t="n"/>
      <c r="F36" s="25" t="n"/>
      <c r="G36" s="25" t="n"/>
      <c r="H36" s="25" t="inlineStr">
        <is>
          <t>Iteración 3</t>
        </is>
      </c>
      <c r="I36" s="25" t="inlineStr">
        <is>
          <t>Hecho</t>
        </is>
      </c>
      <c r="J36" s="24" t="inlineStr">
        <is>
          <t>Martin Espinoza</t>
        </is>
      </c>
      <c r="K36" s="25" t="n"/>
      <c r="L36" s="2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29" customHeight="1" s="29">
      <c r="A37" s="24" t="inlineStr">
        <is>
          <t>T-35</t>
        </is>
      </c>
      <c r="B37" s="24" t="inlineStr">
        <is>
          <t>Tarea</t>
        </is>
      </c>
      <c r="C37" s="24" t="inlineStr">
        <is>
          <t>Diseñar y ejecutar las pruebas de aceptación de la iteración 4</t>
        </is>
      </c>
      <c r="D37" s="24" t="n"/>
      <c r="E37" s="24" t="n"/>
      <c r="F37" s="25" t="n"/>
      <c r="G37" s="25" t="n"/>
      <c r="H37" s="25" t="inlineStr">
        <is>
          <t>Iteración 4</t>
        </is>
      </c>
      <c r="I37" s="25" t="inlineStr">
        <is>
          <t>Hecho</t>
        </is>
      </c>
      <c r="J37" s="24" t="inlineStr">
        <is>
          <t>Martin Espinoza</t>
        </is>
      </c>
      <c r="K37" s="25" t="n"/>
      <c r="L37" s="2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29" customHeight="1" s="29">
      <c r="A38" s="24" t="inlineStr">
        <is>
          <t>T-37</t>
        </is>
      </c>
      <c r="B38" s="24" t="inlineStr">
        <is>
          <t>Tarea</t>
        </is>
      </c>
      <c r="C38" s="24" t="inlineStr">
        <is>
          <t>Ampliar la prueba de integridad para detectar explanation en todas las rutas</t>
        </is>
      </c>
      <c r="D38" s="24" t="n"/>
      <c r="E38" s="24" t="n"/>
      <c r="F38" s="25" t="n"/>
      <c r="G38" s="25" t="n"/>
      <c r="H38" s="25" t="inlineStr">
        <is>
          <t>Iteración 4</t>
        </is>
      </c>
      <c r="I38" s="25" t="inlineStr">
        <is>
          <t>Hecho</t>
        </is>
      </c>
      <c r="J38" s="24" t="inlineStr">
        <is>
          <t>Jeremías Fernández</t>
        </is>
      </c>
      <c r="K38" s="25" t="n"/>
      <c r="L38" s="2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29" customHeight="1" s="29">
      <c r="A39" s="24" t="inlineStr">
        <is>
          <t>T-39</t>
        </is>
      </c>
      <c r="B39" s="24" t="inlineStr">
        <is>
          <t>Tarea</t>
        </is>
      </c>
      <c r="C39" s="24" t="inlineStr">
        <is>
          <t>Diseñar y ejecutar las pruebas de aceptación de la iteración 5</t>
        </is>
      </c>
      <c r="D39" s="24" t="n"/>
      <c r="E39" s="24" t="n"/>
      <c r="F39" s="25" t="n"/>
      <c r="G39" s="25" t="n"/>
      <c r="H39" s="25" t="inlineStr">
        <is>
          <t>Iteración 5</t>
        </is>
      </c>
      <c r="I39" s="25" t="inlineStr">
        <is>
          <t>Hecho</t>
        </is>
      </c>
      <c r="J39" s="24" t="inlineStr">
        <is>
          <t>Martin Espinoza</t>
        </is>
      </c>
      <c r="K39" s="25" t="n"/>
      <c r="L39" s="2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29" customHeight="1" s="29">
      <c r="A40" s="24" t="inlineStr">
        <is>
          <t>T-48</t>
        </is>
      </c>
      <c r="B40" s="24" t="inlineStr">
        <is>
          <t>Tarea</t>
        </is>
      </c>
      <c r="C40" s="24" t="inlineStr">
        <is>
          <t>Diseñar y ejecutar las pruebas de aceptación de la iteración 6</t>
        </is>
      </c>
      <c r="D40" s="24" t="n"/>
      <c r="E40" s="24" t="n"/>
      <c r="F40" s="25" t="n"/>
      <c r="G40" s="25" t="n"/>
      <c r="H40" s="25" t="inlineStr">
        <is>
          <t>Iteración 6</t>
        </is>
      </c>
      <c r="I40" s="25" t="inlineStr">
        <is>
          <t>Hecho</t>
        </is>
      </c>
      <c r="J40" s="24" t="inlineStr">
        <is>
          <t>Martin Espinoza</t>
        </is>
      </c>
      <c r="K40" s="25" t="n"/>
      <c r="L40" s="2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55" customHeight="1" s="29">
      <c r="A41" s="24" t="inlineStr">
        <is>
          <t>T-51</t>
        </is>
      </c>
      <c r="B41" s="24" t="inlineStr">
        <is>
          <t>Tarea</t>
        </is>
      </c>
      <c r="C41" s="24" t="inlineStr">
        <is>
          <t>Alinear con el contrato de la API el estado de la respuesta, los identificadores de habilidades y los errores 405 y 413</t>
        </is>
      </c>
      <c r="D41" s="24" t="n"/>
      <c r="E41" s="24" t="n"/>
      <c r="F41" s="25" t="n"/>
      <c r="G41" s="25" t="n"/>
      <c r="H41" s="25" t="inlineStr">
        <is>
          <t>Iteración 6</t>
        </is>
      </c>
      <c r="I41" s="25" t="inlineStr">
        <is>
          <t>Hecho</t>
        </is>
      </c>
      <c r="J41" s="24" t="inlineStr">
        <is>
          <t>Jeremías Fernández</t>
        </is>
      </c>
      <c r="K41" s="25" t="n"/>
      <c r="L41" s="2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29" customHeight="1" s="29">
      <c r="A42" s="24" t="inlineStr">
        <is>
          <t>T-60</t>
        </is>
      </c>
      <c r="B42" s="24" t="inlineStr">
        <is>
          <t>Tarea</t>
        </is>
      </c>
      <c r="C42" s="24" t="inlineStr">
        <is>
          <t>Diseñar y ejecutar las pruebas de aceptación de la iteración 7</t>
        </is>
      </c>
      <c r="D42" s="24" t="n"/>
      <c r="E42" s="24" t="n"/>
      <c r="F42" s="25" t="n"/>
      <c r="G42" s="25" t="n"/>
      <c r="H42" s="25" t="inlineStr">
        <is>
          <t>Iteración 7</t>
        </is>
      </c>
      <c r="I42" s="25" t="inlineStr">
        <is>
          <t>Hecho</t>
        </is>
      </c>
      <c r="J42" s="24" t="inlineStr">
        <is>
          <t>Martin Espinoza</t>
        </is>
      </c>
      <c r="K42" s="25" t="n"/>
      <c r="L42" s="2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29" customHeight="1" s="29">
      <c r="A43" s="24" t="inlineStr">
        <is>
          <t>T-73</t>
        </is>
      </c>
      <c r="B43" s="24" t="inlineStr">
        <is>
          <t>Tarea</t>
        </is>
      </c>
      <c r="C43" s="24" t="inlineStr">
        <is>
          <t>Diseñar y ejecutar las pruebas de aceptación de la iteración 8</t>
        </is>
      </c>
      <c r="D43" s="24" t="n"/>
      <c r="E43" s="24" t="n"/>
      <c r="F43" s="25" t="n"/>
      <c r="G43" s="25" t="n"/>
      <c r="H43" s="25" t="inlineStr">
        <is>
          <t>Iteración 8</t>
        </is>
      </c>
      <c r="I43" s="25" t="inlineStr">
        <is>
          <t>Hecho</t>
        </is>
      </c>
      <c r="J43" s="24" t="inlineStr">
        <is>
          <t>Martin Espinoza</t>
        </is>
      </c>
      <c r="K43" s="25" t="n"/>
      <c r="L43" s="2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55" customHeight="1" s="29">
      <c r="A44" s="22" t="inlineStr">
        <is>
          <t>HT-05</t>
        </is>
      </c>
      <c r="B44" s="22" t="inlineStr">
        <is>
          <t>Historia técnica</t>
        </is>
      </c>
      <c r="C44" s="22" t="inlineStr">
        <is>
          <t>Pruebas de integración y compilación</t>
        </is>
      </c>
      <c r="D44" s="22" t="inlineStr">
        <is>
          <t>Como encargado de pruebas, quiero ejecutar pruebas de integración de extremo a extremo sobre el módulo completo para verificar que la aplicación y los servicios cumplan los criterios de aceptación.</t>
        </is>
      </c>
      <c r="E44" s="22" t="inlineStr">
        <is>
          <t>La batería de integración recorre los flujos de las seis pantallas contra los catorce servicios, el analizador no presenta advertencias y se compilan los artefactos para móvil y web.</t>
        </is>
      </c>
      <c r="F44" s="23" t="inlineStr">
        <is>
          <t>Alta</t>
        </is>
      </c>
      <c r="G44" s="23" t="n">
        <v>5</v>
      </c>
      <c r="H44" s="23" t="inlineStr">
        <is>
          <t>Iteración 10</t>
        </is>
      </c>
      <c r="I44" s="23" t="inlineStr">
        <is>
          <t>Pendiente</t>
        </is>
      </c>
      <c r="J44" s="22" t="inlineStr">
        <is>
          <t>Martin Espinoza</t>
        </is>
      </c>
      <c r="K44" s="23" t="inlineStr">
        <is>
          <t>OE4</t>
        </is>
      </c>
      <c r="L44" s="22" t="inlineStr">
        <is>
          <t>1.3.6.2 · 1.3.6.3</t>
        </is>
      </c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6" customHeight="1" s="29">
      <c r="A45" s="16" t="inlineStr">
        <is>
          <t>E2</t>
        </is>
      </c>
      <c r="B45" s="16" t="inlineStr">
        <is>
          <t>Épica</t>
        </is>
      </c>
      <c r="C45" s="16" t="inlineStr">
        <is>
          <t>Acceso y configuración</t>
        </is>
      </c>
      <c r="D45" s="16" t="inlineStr">
        <is>
          <t>Sesión del estudiante y configuración de su práctica.</t>
        </is>
      </c>
      <c r="E45" s="16" t="n"/>
      <c r="F45" s="17" t="n"/>
      <c r="G45" s="17" t="n"/>
      <c r="H45" s="17" t="n"/>
      <c r="I45" s="17" t="n"/>
      <c r="J45" s="16" t="n"/>
      <c r="K45" s="17" t="n"/>
      <c r="L45" s="16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6" customHeight="1" s="29">
      <c r="A46" s="19" t="inlineStr">
        <is>
          <t>F2.1</t>
        </is>
      </c>
      <c r="B46" s="19" t="inlineStr">
        <is>
          <t>Característica</t>
        </is>
      </c>
      <c r="C46" s="19" t="inlineStr">
        <is>
          <t>Sesión</t>
        </is>
      </c>
      <c r="D46" s="19" t="n"/>
      <c r="E46" s="19" t="n"/>
      <c r="F46" s="20" t="n"/>
      <c r="G46" s="20" t="n"/>
      <c r="H46" s="20" t="n"/>
      <c r="I46" s="20" t="n"/>
      <c r="J46" s="19" t="n"/>
      <c r="K46" s="20" t="n"/>
      <c r="L46" s="19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42" customHeight="1" s="29">
      <c r="A47" s="22" t="inlineStr">
        <is>
          <t>HU-21</t>
        </is>
      </c>
      <c r="B47" s="22" t="inlineStr">
        <is>
          <t>Historia de usuario</t>
        </is>
      </c>
      <c r="C47" s="22" t="inlineStr">
        <is>
          <t>Inicio de sesión</t>
        </is>
      </c>
      <c r="D47" s="22" t="inlineStr">
        <is>
          <t>Como estudiante, quiero iniciar sesión con mi cuenta para que mi progreso, mi cuota y mis respuestas queden asociados a mí.</t>
        </is>
      </c>
      <c r="E47" s="22" t="inlineStr">
        <is>
          <t>El estudiante inicia sesión con Firebase Authentication sin verificación por SMS, y la API rechaza las peticiones sin una sesión válida.</t>
        </is>
      </c>
      <c r="F47" s="23" t="inlineStr">
        <is>
          <t>Alta</t>
        </is>
      </c>
      <c r="G47" s="23" t="n">
        <v>3</v>
      </c>
      <c r="H47" s="23" t="inlineStr">
        <is>
          <t>Iteración 3</t>
        </is>
      </c>
      <c r="I47" s="23" t="inlineStr">
        <is>
          <t>Hecho</t>
        </is>
      </c>
      <c r="J47" s="22" t="inlineStr">
        <is>
          <t>Jeremías / Sebastián</t>
        </is>
      </c>
      <c r="K47" s="23" t="inlineStr">
        <is>
          <t>OE2</t>
        </is>
      </c>
      <c r="L47" s="22" t="inlineStr">
        <is>
          <t>1.3.5.1</t>
        </is>
      </c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29" customHeight="1" s="29">
      <c r="A48" s="24" t="inlineStr">
        <is>
          <t>T-14</t>
        </is>
      </c>
      <c r="B48" s="24" t="inlineStr">
        <is>
          <t>Tarea</t>
        </is>
      </c>
      <c r="C48" s="24" t="inlineStr">
        <is>
          <t>Configurar Firebase Authentication en la aplicación y en la API</t>
        </is>
      </c>
      <c r="D48" s="24" t="n"/>
      <c r="E48" s="24" t="n"/>
      <c r="F48" s="25" t="n"/>
      <c r="G48" s="25" t="n"/>
      <c r="H48" s="25" t="inlineStr">
        <is>
          <t>Iteración 3</t>
        </is>
      </c>
      <c r="I48" s="25" t="inlineStr">
        <is>
          <t>Hecho</t>
        </is>
      </c>
      <c r="J48" s="24" t="inlineStr">
        <is>
          <t>Jeremías Fernández</t>
        </is>
      </c>
      <c r="K48" s="25" t="n"/>
      <c r="L48" s="2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29" customHeight="1" s="29">
      <c r="A49" s="24" t="inlineStr">
        <is>
          <t>T-15</t>
        </is>
      </c>
      <c r="B49" s="24" t="inlineStr">
        <is>
          <t>Tarea</t>
        </is>
      </c>
      <c r="C49" s="24" t="inlineStr">
        <is>
          <t>Validar el token de sesión en el backend</t>
        </is>
      </c>
      <c r="D49" s="24" t="n"/>
      <c r="E49" s="24" t="n"/>
      <c r="F49" s="25" t="n"/>
      <c r="G49" s="25" t="n"/>
      <c r="H49" s="25" t="inlineStr">
        <is>
          <t>Iteración 3</t>
        </is>
      </c>
      <c r="I49" s="25" t="inlineStr">
        <is>
          <t>Hecho</t>
        </is>
      </c>
      <c r="J49" s="24" t="inlineStr">
        <is>
          <t>Jeremías Fernández</t>
        </is>
      </c>
      <c r="K49" s="25" t="n"/>
      <c r="L49" s="2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29" customHeight="1" s="29">
      <c r="A50" s="24" t="inlineStr">
        <is>
          <t>T-23</t>
        </is>
      </c>
      <c r="B50" s="24" t="inlineStr">
        <is>
          <t>Tarea</t>
        </is>
      </c>
      <c r="C50" s="24" t="inlineStr">
        <is>
          <t>Restringir las claves de Firebase por aplicación y dominio</t>
        </is>
      </c>
      <c r="D50" s="24" t="n"/>
      <c r="E50" s="24" t="n"/>
      <c r="F50" s="25" t="n"/>
      <c r="G50" s="25" t="n"/>
      <c r="H50" s="25" t="inlineStr">
        <is>
          <t>Iteración 5</t>
        </is>
      </c>
      <c r="I50" s="25" t="inlineStr">
        <is>
          <t>Hecho</t>
        </is>
      </c>
      <c r="J50" s="24" t="inlineStr">
        <is>
          <t>Jeremías Fernández</t>
        </is>
      </c>
      <c r="K50" s="25" t="n"/>
      <c r="L50" s="2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81" customHeight="1" s="29">
      <c r="A51" s="22" t="inlineStr">
        <is>
          <t>HT-07</t>
        </is>
      </c>
      <c r="B51" s="22" t="inlineStr">
        <is>
          <t>Historia técnica</t>
        </is>
      </c>
      <c r="C51" s="22" t="inlineStr">
        <is>
          <t>Alta del alumno y perfil (GET /me)</t>
        </is>
      </c>
      <c r="D51" s="22" t="inlineStr">
        <is>
          <t>Como equipo de desarrollo, queremos dar de alta al alumno en su primera petición y exponer su perfil para que el módulo conozca su plan, su cuota y sus preferencias.</t>
        </is>
      </c>
      <c r="E51" s="22" t="inlineStr">
        <is>
          <t>La primera petición crea el documento del alumno sin pisar uno existente, rechaza sesiones revocadas y alumnos suspendidos, y GET /me entrega el perfil con la cuota del día. Trabajo no planificado de la iteración 3 y ajuste de alcance: con GET /me, el módulo pasa a tener catorce servicios, los trece del contrato de la empresa más este.</t>
        </is>
      </c>
      <c r="F51" s="23" t="inlineStr">
        <is>
          <t>Alta</t>
        </is>
      </c>
      <c r="G51" s="23" t="n">
        <v>3</v>
      </c>
      <c r="H51" s="23" t="inlineStr">
        <is>
          <t>Iteración 3</t>
        </is>
      </c>
      <c r="I51" s="23" t="inlineStr">
        <is>
          <t>Hecho</t>
        </is>
      </c>
      <c r="J51" s="22" t="inlineStr">
        <is>
          <t>Jeremías Fernández</t>
        </is>
      </c>
      <c r="K51" s="23" t="inlineStr">
        <is>
          <t>OE2</t>
        </is>
      </c>
      <c r="L51" s="22" t="inlineStr">
        <is>
          <t>1.3.5.1</t>
        </is>
      </c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42" customHeight="1" s="29">
      <c r="A52" s="22" t="inlineStr">
        <is>
          <t>HU-16</t>
        </is>
      </c>
      <c r="B52" s="22" t="inlineStr">
        <is>
          <t>Historia técnica</t>
        </is>
      </c>
      <c r="C52" s="22" t="inlineStr">
        <is>
          <t>Manejo de sesión</t>
        </is>
      </c>
      <c r="D52" s="22" t="inlineStr">
        <is>
          <t>Como equipo de desarrollo, queremos integrar el manejo de sesión para que el módulo consuma los servicios que requieren autenticación.</t>
        </is>
      </c>
      <c r="E52" s="22" t="inlineStr">
        <is>
          <t>La aplicación adjunta el token de sesión en cada petición y, ante una sesión vencida, solicita uno nuevo y reintenta una vez antes de cerrar la sesión.</t>
        </is>
      </c>
      <c r="F52" s="23" t="inlineStr">
        <is>
          <t>Alta</t>
        </is>
      </c>
      <c r="G52" s="23" t="n">
        <v>3</v>
      </c>
      <c r="H52" s="23" t="inlineStr">
        <is>
          <t>Iteración 3</t>
        </is>
      </c>
      <c r="I52" s="23" t="inlineStr">
        <is>
          <t>Hecho</t>
        </is>
      </c>
      <c r="J52" s="22" t="inlineStr">
        <is>
          <t>Sebastián Acevedo</t>
        </is>
      </c>
      <c r="K52" s="23" t="inlineStr">
        <is>
          <t>OE2</t>
        </is>
      </c>
      <c r="L52" s="22" t="inlineStr">
        <is>
          <t>1.3.5.1</t>
        </is>
      </c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29" customHeight="1" s="29">
      <c r="A53" s="24" t="inlineStr">
        <is>
          <t>T-16</t>
        </is>
      </c>
      <c r="B53" s="24" t="inlineStr">
        <is>
          <t>Tarea</t>
        </is>
      </c>
      <c r="C53" s="24" t="inlineStr">
        <is>
          <t>Interceptor que adjunta el token y reintenta ante un 401</t>
        </is>
      </c>
      <c r="D53" s="24" t="n"/>
      <c r="E53" s="24" t="n"/>
      <c r="F53" s="25" t="n"/>
      <c r="G53" s="25" t="n"/>
      <c r="H53" s="25" t="inlineStr">
        <is>
          <t>Iteración 3</t>
        </is>
      </c>
      <c r="I53" s="25" t="inlineStr">
        <is>
          <t>Hecho</t>
        </is>
      </c>
      <c r="J53" s="24" t="inlineStr">
        <is>
          <t>Jeremías Fernández</t>
        </is>
      </c>
      <c r="K53" s="25" t="n"/>
      <c r="L53" s="2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42" customHeight="1" s="29">
      <c r="A54" s="24" t="inlineStr">
        <is>
          <t>T-67</t>
        </is>
      </c>
      <c r="B54" s="24" t="inlineStr">
        <is>
          <t>Tarea</t>
        </is>
      </c>
      <c r="C54" s="24" t="inlineStr">
        <is>
          <t>Esperar la sesión sincronizada antes de cargar el perfil después del inicio de sesión (H-34)</t>
        </is>
      </c>
      <c r="D54" s="24" t="n"/>
      <c r="E54" s="24" t="n"/>
      <c r="F54" s="25" t="n"/>
      <c r="G54" s="25" t="n"/>
      <c r="H54" s="25" t="inlineStr">
        <is>
          <t>Iteración 7</t>
        </is>
      </c>
      <c r="I54" s="25" t="inlineStr">
        <is>
          <t>Hecho</t>
        </is>
      </c>
      <c r="J54" s="24" t="inlineStr">
        <is>
          <t>Sebastián Acevedo</t>
        </is>
      </c>
      <c r="K54" s="25" t="n"/>
      <c r="L54" s="2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6" customHeight="1" s="29">
      <c r="A55" s="19" t="inlineStr">
        <is>
          <t>F2.2</t>
        </is>
      </c>
      <c r="B55" s="19" t="inlineStr">
        <is>
          <t>Característica</t>
        </is>
      </c>
      <c r="C55" s="19" t="inlineStr">
        <is>
          <t>Configuración de la práctica</t>
        </is>
      </c>
      <c r="D55" s="19" t="n"/>
      <c r="E55" s="19" t="n"/>
      <c r="F55" s="20" t="n"/>
      <c r="G55" s="20" t="n"/>
      <c r="H55" s="20" t="n"/>
      <c r="I55" s="20" t="n"/>
      <c r="J55" s="19" t="n"/>
      <c r="K55" s="20" t="n"/>
      <c r="L55" s="19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29" customHeight="1" s="29">
      <c r="A56" s="22" t="inlineStr">
        <is>
          <t>HU-11</t>
        </is>
      </c>
      <c r="B56" s="22" t="inlineStr">
        <is>
          <t>Historia de usuario</t>
        </is>
      </c>
      <c r="C56" s="22" t="inlineStr">
        <is>
          <t>Selección de pruebas</t>
        </is>
      </c>
      <c r="D56" s="22" t="inlineStr">
        <is>
          <t>Como estudiante, quiero seleccionar las pruebas que deseo practicar para recibir preguntas relacionadas con ellas.</t>
        </is>
      </c>
      <c r="E56" s="22" t="inlineStr">
        <is>
          <t>Las preferencias seleccionadas se guardan y se utilizan para obtener preguntas.</t>
        </is>
      </c>
      <c r="F56" s="23" t="inlineStr">
        <is>
          <t>Alta</t>
        </is>
      </c>
      <c r="G56" s="23" t="n">
        <v>2</v>
      </c>
      <c r="H56" s="23" t="inlineStr">
        <is>
          <t>Iteración 3</t>
        </is>
      </c>
      <c r="I56" s="23" t="inlineStr">
        <is>
          <t>Hecho</t>
        </is>
      </c>
      <c r="J56" s="22" t="inlineStr">
        <is>
          <t>Jeremías Fernández</t>
        </is>
      </c>
      <c r="K56" s="23" t="inlineStr">
        <is>
          <t>OE2</t>
        </is>
      </c>
      <c r="L56" s="22" t="inlineStr">
        <is>
          <t>1.3.3.4</t>
        </is>
      </c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6" customHeight="1" s="29">
      <c r="A57" s="24" t="inlineStr">
        <is>
          <t>T-17</t>
        </is>
      </c>
      <c r="B57" s="24" t="inlineStr">
        <is>
          <t>Tarea</t>
        </is>
      </c>
      <c r="C57" s="24" t="inlineStr">
        <is>
          <t>Servicio GET /tests</t>
        </is>
      </c>
      <c r="D57" s="24" t="n"/>
      <c r="E57" s="24" t="n"/>
      <c r="F57" s="25" t="n"/>
      <c r="G57" s="25" t="n"/>
      <c r="H57" s="25" t="inlineStr">
        <is>
          <t>Iteración 3</t>
        </is>
      </c>
      <c r="I57" s="25" t="inlineStr">
        <is>
          <t>Hecho</t>
        </is>
      </c>
      <c r="J57" s="24" t="inlineStr">
        <is>
          <t>Jeremías Fernández</t>
        </is>
      </c>
      <c r="K57" s="25" t="n"/>
      <c r="L57" s="2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42" customHeight="1" s="29">
      <c r="A58" s="24" t="inlineStr">
        <is>
          <t>T-68</t>
        </is>
      </c>
      <c r="B58" s="24" t="inlineStr">
        <is>
          <t>Tarea</t>
        </is>
      </c>
      <c r="C58" s="24" t="inlineStr">
        <is>
          <t>Separar por usuario la caché de preferencias de materia al cambiar de cuenta (H-33)</t>
        </is>
      </c>
      <c r="D58" s="24" t="n"/>
      <c r="E58" s="24" t="n"/>
      <c r="F58" s="25" t="n"/>
      <c r="G58" s="25" t="n"/>
      <c r="H58" s="25" t="inlineStr">
        <is>
          <t>Iteración 8</t>
        </is>
      </c>
      <c r="I58" s="25" t="inlineStr">
        <is>
          <t>Hecho</t>
        </is>
      </c>
      <c r="J58" s="24" t="inlineStr">
        <is>
          <t>Sebastián Acevedo</t>
        </is>
      </c>
      <c r="K58" s="25" t="n"/>
      <c r="L58" s="2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29" customHeight="1" s="29">
      <c r="A59" s="22" t="inlineStr">
        <is>
          <t>HU-12</t>
        </is>
      </c>
      <c r="B59" s="22" t="inlineStr">
        <is>
          <t>Historia de usuario</t>
        </is>
      </c>
      <c r="C59" s="22" t="inlineStr">
        <is>
          <t>Formato y dificultad</t>
        </is>
      </c>
      <c r="D59" s="22" t="inlineStr">
        <is>
          <t>Como estudiante, quiero configurar el formato y la dificultad de mi práctica para adaptarla a mis necesidades.</t>
        </is>
      </c>
      <c r="E59" s="22" t="inlineStr">
        <is>
          <t>Se permite configurar el modo y la dificultad, respetando las restricciones del plan del usuario.</t>
        </is>
      </c>
      <c r="F59" s="23" t="inlineStr">
        <is>
          <t>Media</t>
        </is>
      </c>
      <c r="G59" s="23" t="n">
        <v>3</v>
      </c>
      <c r="H59" s="23" t="inlineStr">
        <is>
          <t>Iteración 5</t>
        </is>
      </c>
      <c r="I59" s="23" t="inlineStr">
        <is>
          <t>Hecho</t>
        </is>
      </c>
      <c r="J59" s="22" t="inlineStr">
        <is>
          <t>Jeremías Fernández</t>
        </is>
      </c>
      <c r="K59" s="23" t="inlineStr">
        <is>
          <t>OE2</t>
        </is>
      </c>
      <c r="L59" s="22" t="inlineStr">
        <is>
          <t>1.3.3.4</t>
        </is>
      </c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6" customHeight="1" s="29">
      <c r="A60" s="24" t="inlineStr">
        <is>
          <t>T-18</t>
        </is>
      </c>
      <c r="B60" s="24" t="inlineStr">
        <is>
          <t>Tarea</t>
        </is>
      </c>
      <c r="C60" s="24" t="inlineStr">
        <is>
          <t>Servicios GET y PUT /me/preferences</t>
        </is>
      </c>
      <c r="D60" s="24" t="n"/>
      <c r="E60" s="24" t="n"/>
      <c r="F60" s="25" t="n"/>
      <c r="G60" s="25" t="n"/>
      <c r="H60" s="25" t="inlineStr">
        <is>
          <t>Iteración 3</t>
        </is>
      </c>
      <c r="I60" s="25" t="inlineStr">
        <is>
          <t>Hecho</t>
        </is>
      </c>
      <c r="J60" s="24" t="inlineStr">
        <is>
          <t>Jeremías Fernández</t>
        </is>
      </c>
      <c r="K60" s="25" t="n"/>
      <c r="L60" s="2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6" customHeight="1" s="29">
      <c r="A61" s="24" t="inlineStr">
        <is>
          <t>T-32</t>
        </is>
      </c>
      <c r="B61" s="24" t="inlineStr">
        <is>
          <t>Tarea</t>
        </is>
      </c>
      <c r="C61" s="24" t="inlineStr">
        <is>
          <t>Ordenar la práctica en formato facsímil</t>
        </is>
      </c>
      <c r="D61" s="24" t="n"/>
      <c r="E61" s="24" t="n"/>
      <c r="F61" s="25" t="n"/>
      <c r="G61" s="25" t="n"/>
      <c r="H61" s="25" t="inlineStr">
        <is>
          <t>Iteración 5</t>
        </is>
      </c>
      <c r="I61" s="25" t="inlineStr">
        <is>
          <t>Hecho</t>
        </is>
      </c>
      <c r="J61" s="24" t="inlineStr">
        <is>
          <t>Jeremías Fernández</t>
        </is>
      </c>
      <c r="K61" s="25" t="n"/>
      <c r="L61" s="2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29" customHeight="1" s="29">
      <c r="A62" s="24" t="inlineStr">
        <is>
          <t>T-38</t>
        </is>
      </c>
      <c r="B62" s="24" t="inlineStr">
        <is>
          <t>Tarea</t>
        </is>
      </c>
      <c r="C62" s="24" t="inlineStr">
        <is>
          <t>Exigir mock_mode en el plan para habilitar el formato facsímil</t>
        </is>
      </c>
      <c r="D62" s="24" t="n"/>
      <c r="E62" s="24" t="n"/>
      <c r="F62" s="25" t="n"/>
      <c r="G62" s="25" t="n"/>
      <c r="H62" s="25" t="inlineStr">
        <is>
          <t>Iteración 5</t>
        </is>
      </c>
      <c r="I62" s="25" t="inlineStr">
        <is>
          <t>Hecho</t>
        </is>
      </c>
      <c r="J62" s="24" t="inlineStr">
        <is>
          <t>Jeremías Fernández</t>
        </is>
      </c>
      <c r="K62" s="25" t="n"/>
      <c r="L62" s="2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29" customHeight="1" s="29">
      <c r="A63" s="24" t="inlineStr">
        <is>
          <t>T-44</t>
        </is>
      </c>
      <c r="B63" s="24" t="inlineStr">
        <is>
          <t>Tarea</t>
        </is>
      </c>
      <c r="C63" s="24" t="inlineStr">
        <is>
          <t>Volver a marcar el formato guardado cuando la API rechaza el cambio (H-18)</t>
        </is>
      </c>
      <c r="D63" s="24" t="n"/>
      <c r="E63" s="24" t="n"/>
      <c r="F63" s="25" t="n"/>
      <c r="G63" s="25" t="n"/>
      <c r="H63" s="25" t="inlineStr">
        <is>
          <t>Iteración 6</t>
        </is>
      </c>
      <c r="I63" s="25" t="inlineStr">
        <is>
          <t>Hecho</t>
        </is>
      </c>
      <c r="J63" s="24" t="inlineStr">
        <is>
          <t>Sebastián Acevedo</t>
        </is>
      </c>
      <c r="K63" s="25" t="n"/>
      <c r="L63" s="2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29" customHeight="1" s="29">
      <c r="A64" s="16" t="inlineStr">
        <is>
          <t>E3</t>
        </is>
      </c>
      <c r="B64" s="16" t="inlineStr">
        <is>
          <t>Épica</t>
        </is>
      </c>
      <c r="C64" s="16" t="inlineStr">
        <is>
          <t>Ciclo de práctica</t>
        </is>
      </c>
      <c r="D64" s="16" t="inlineStr">
        <is>
          <t>El estudiante recibe una pregunta, la responde y conoce su resultado.</t>
        </is>
      </c>
      <c r="E64" s="16" t="n"/>
      <c r="F64" s="17" t="n"/>
      <c r="G64" s="17" t="n"/>
      <c r="H64" s="17" t="n"/>
      <c r="I64" s="17" t="n"/>
      <c r="J64" s="16" t="n"/>
      <c r="K64" s="17" t="n"/>
      <c r="L64" s="16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6" customHeight="1" s="29">
      <c r="A65" s="19" t="inlineStr">
        <is>
          <t>F3.1</t>
        </is>
      </c>
      <c r="B65" s="19" t="inlineStr">
        <is>
          <t>Característica</t>
        </is>
      </c>
      <c r="C65" s="19" t="inlineStr">
        <is>
          <t>Entrega de preguntas</t>
        </is>
      </c>
      <c r="D65" s="19" t="n"/>
      <c r="E65" s="19" t="n"/>
      <c r="F65" s="20" t="n"/>
      <c r="G65" s="20" t="n"/>
      <c r="H65" s="20" t="n"/>
      <c r="I65" s="20" t="n"/>
      <c r="J65" s="19" t="n"/>
      <c r="K65" s="20" t="n"/>
      <c r="L65" s="19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55" customHeight="1" s="29">
      <c r="A66" s="22" t="inlineStr">
        <is>
          <t>HU-01</t>
        </is>
      </c>
      <c r="B66" s="22" t="inlineStr">
        <is>
          <t>Historia de usuario</t>
        </is>
      </c>
      <c r="C66" s="22" t="inlineStr">
        <is>
          <t>Siguiente pregunta</t>
        </is>
      </c>
      <c r="D66" s="22" t="inlineStr">
        <is>
          <t>Como estudiante, quiero recibir la siguiente pregunta según mis preferencias para continuar con mi práctica.</t>
        </is>
      </c>
      <c r="E66" s="22" t="inlineStr">
        <is>
          <t>El sistema entrega una pregunta de las pruebas seleccionadas, no repite preguntas ya respondidas, no revela la alternativa correcta y no entrega preguntas a un estudiante suspendido desde la consola de administración.</t>
        </is>
      </c>
      <c r="F66" s="23" t="inlineStr">
        <is>
          <t>Alta</t>
        </is>
      </c>
      <c r="G66" s="23" t="n">
        <v>5</v>
      </c>
      <c r="H66" s="23" t="inlineStr">
        <is>
          <t>Iteración 3</t>
        </is>
      </c>
      <c r="I66" s="23" t="inlineStr">
        <is>
          <t>Hecho</t>
        </is>
      </c>
      <c r="J66" s="22" t="inlineStr">
        <is>
          <t>Jeremías Fernández</t>
        </is>
      </c>
      <c r="K66" s="23" t="inlineStr">
        <is>
          <t>OE2</t>
        </is>
      </c>
      <c r="L66" s="22" t="inlineStr">
        <is>
          <t>1.3.3.1</t>
        </is>
      </c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29" customHeight="1" s="29">
      <c r="A67" s="24" t="inlineStr">
        <is>
          <t>T-19</t>
        </is>
      </c>
      <c r="B67" s="24" t="inlineStr">
        <is>
          <t>Tarea</t>
        </is>
      </c>
      <c r="C67" s="24" t="inlineStr">
        <is>
          <t>Servicio GET /practice/next con exclusión de preguntas respondidas</t>
        </is>
      </c>
      <c r="D67" s="24" t="n"/>
      <c r="E67" s="24" t="n"/>
      <c r="F67" s="25" t="n"/>
      <c r="G67" s="25" t="n"/>
      <c r="H67" s="25" t="inlineStr">
        <is>
          <t>Iteración 3</t>
        </is>
      </c>
      <c r="I67" s="25" t="inlineStr">
        <is>
          <t>Hecho</t>
        </is>
      </c>
      <c r="J67" s="24" t="inlineStr">
        <is>
          <t>Jeremías Fernández</t>
        </is>
      </c>
      <c r="K67" s="25" t="n"/>
      <c r="L67" s="2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6" customHeight="1" s="29">
      <c r="A68" s="24" t="inlineStr">
        <is>
          <t>T-20</t>
        </is>
      </c>
      <c r="B68" s="24" t="inlineStr">
        <is>
          <t>Tarea</t>
        </is>
      </c>
      <c r="C68" s="24" t="inlineStr">
        <is>
          <t>Servicio GET /questions/{id}</t>
        </is>
      </c>
      <c r="D68" s="24" t="n"/>
      <c r="E68" s="24" t="n"/>
      <c r="F68" s="25" t="n"/>
      <c r="G68" s="25" t="n"/>
      <c r="H68" s="25" t="inlineStr">
        <is>
          <t>Iteración 4</t>
        </is>
      </c>
      <c r="I68" s="25" t="inlineStr">
        <is>
          <t>Hecho</t>
        </is>
      </c>
      <c r="J68" s="24" t="inlineStr">
        <is>
          <t>Jeremías Fernández</t>
        </is>
      </c>
      <c r="K68" s="25" t="n"/>
      <c r="L68" s="2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29" customHeight="1" s="29">
      <c r="A69" s="24" t="inlineStr">
        <is>
          <t>T-25</t>
        </is>
      </c>
      <c r="B69" s="24" t="inlineStr">
        <is>
          <t>Tarea</t>
        </is>
      </c>
      <c r="C69" s="24" t="inlineStr">
        <is>
          <t>Elegir la pregunta pendiente dentro de una transacción</t>
        </is>
      </c>
      <c r="D69" s="24" t="n"/>
      <c r="E69" s="24" t="n"/>
      <c r="F69" s="25" t="n"/>
      <c r="G69" s="25" t="n"/>
      <c r="H69" s="25" t="inlineStr">
        <is>
          <t>Iteración 4</t>
        </is>
      </c>
      <c r="I69" s="25" t="inlineStr">
        <is>
          <t>Hecho</t>
        </is>
      </c>
      <c r="J69" s="24" t="inlineStr">
        <is>
          <t>Jeremías Fernández</t>
        </is>
      </c>
      <c r="K69" s="25" t="n"/>
      <c r="L69" s="2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55" customHeight="1" s="29">
      <c r="A70" s="24" t="inlineStr">
        <is>
          <t>T-50</t>
        </is>
      </c>
      <c r="B70" s="24" t="inlineStr">
        <is>
          <t>Tarea</t>
        </is>
      </c>
      <c r="C70" s="24" t="inlineStr">
        <is>
          <t>Elegir la prueba de la pregunta nueva con testId en GET /practice/next y en el selector de materia de la aplicación, a pedido de la contraparte</t>
        </is>
      </c>
      <c r="D70" s="24" t="n"/>
      <c r="E70" s="24" t="n"/>
      <c r="F70" s="25" t="n"/>
      <c r="G70" s="25" t="n"/>
      <c r="H70" s="25" t="inlineStr">
        <is>
          <t>Iteración 6</t>
        </is>
      </c>
      <c r="I70" s="25" t="inlineStr">
        <is>
          <t>Hecho</t>
        </is>
      </c>
      <c r="J70" s="24" t="inlineStr">
        <is>
          <t>Jeremías / Sebastián</t>
        </is>
      </c>
      <c r="K70" s="25" t="n"/>
      <c r="L70" s="2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81" customHeight="1" s="29">
      <c r="A71" s="24" t="inlineStr">
        <is>
          <t>T-52</t>
        </is>
      </c>
      <c r="B71" s="24" t="inlineStr">
        <is>
          <t>Tarea</t>
        </is>
      </c>
      <c r="C71" s="24" t="inlineStr">
        <is>
          <t>Entregar en GET /questions/{id} las preguntas compartidas en grupos y comunidad, sin la respuesta hasta que el alumno responda y descontando cuota al responder (regla acordada con la contraparte el 21/10/2026)</t>
        </is>
      </c>
      <c r="D71" s="24" t="n"/>
      <c r="E71" s="24" t="n"/>
      <c r="F71" s="25" t="n"/>
      <c r="G71" s="25" t="n"/>
      <c r="H71" s="25" t="inlineStr">
        <is>
          <t>Por planificar</t>
        </is>
      </c>
      <c r="I71" s="25" t="inlineStr">
        <is>
          <t>Pendiente</t>
        </is>
      </c>
      <c r="J71" s="24" t="inlineStr">
        <is>
          <t>Jeremías Fernández</t>
        </is>
      </c>
      <c r="K71" s="25" t="n"/>
      <c r="L71" s="2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29" customHeight="1" s="29">
      <c r="A72" s="22" t="inlineStr">
        <is>
          <t>HU-02</t>
        </is>
      </c>
      <c r="B72" s="22" t="inlineStr">
        <is>
          <t>Historia de usuario</t>
        </is>
      </c>
      <c r="C72" s="22" t="inlineStr">
        <is>
          <t>Pantalla Pregunta</t>
        </is>
      </c>
      <c r="D72" s="22" t="inlineStr">
        <is>
          <t>Como estudiante, quiero visualizar el enunciado y las alternativas de una pregunta para poder responderla.</t>
        </is>
      </c>
      <c r="E72" s="22" t="inlineStr">
        <is>
          <t>La pantalla muestra el enunciado, las alternativas, el progreso y el cronómetro.</t>
        </is>
      </c>
      <c r="F72" s="23" t="inlineStr">
        <is>
          <t>Alta</t>
        </is>
      </c>
      <c r="G72" s="23" t="n">
        <v>5</v>
      </c>
      <c r="H72" s="23" t="inlineStr">
        <is>
          <t>Iteración 3</t>
        </is>
      </c>
      <c r="I72" s="23" t="inlineStr">
        <is>
          <t>Hecho</t>
        </is>
      </c>
      <c r="J72" s="22" t="inlineStr">
        <is>
          <t>Sebastián Acevedo</t>
        </is>
      </c>
      <c r="K72" s="23" t="inlineStr">
        <is>
          <t>OE2</t>
        </is>
      </c>
      <c r="L72" s="22" t="inlineStr">
        <is>
          <t>1.3.4.1</t>
        </is>
      </c>
    </row>
    <row r="73" ht="29" customHeight="1" s="29">
      <c r="A73" s="24" t="inlineStr">
        <is>
          <t>T-21</t>
        </is>
      </c>
      <c r="B73" s="24" t="inlineStr">
        <is>
          <t>Tarea</t>
        </is>
      </c>
      <c r="C73" s="24" t="inlineStr">
        <is>
          <t>Construir la pantalla Pregunta integrada con el servicio</t>
        </is>
      </c>
      <c r="D73" s="24" t="n"/>
      <c r="E73" s="24" t="n"/>
      <c r="F73" s="25" t="n"/>
      <c r="G73" s="25" t="n"/>
      <c r="H73" s="25" t="inlineStr">
        <is>
          <t>Iteración 3</t>
        </is>
      </c>
      <c r="I73" s="25" t="inlineStr">
        <is>
          <t>Hecho</t>
        </is>
      </c>
      <c r="J73" s="24" t="inlineStr">
        <is>
          <t>Sebastián Acevedo</t>
        </is>
      </c>
      <c r="K73" s="25" t="n"/>
      <c r="L73" s="2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29" customHeight="1" s="29">
      <c r="A74" s="24" t="inlineStr">
        <is>
          <t>T-22</t>
        </is>
      </c>
      <c r="B74" s="24" t="inlineStr">
        <is>
          <t>Tarea</t>
        </is>
      </c>
      <c r="C74" s="24" t="inlineStr">
        <is>
          <t>Traducir los errores de cuota a la pantalla de desbloqueo</t>
        </is>
      </c>
      <c r="D74" s="24" t="n"/>
      <c r="E74" s="24" t="n"/>
      <c r="F74" s="25" t="n"/>
      <c r="G74" s="25" t="n"/>
      <c r="H74" s="25" t="inlineStr">
        <is>
          <t>Iteración 3</t>
        </is>
      </c>
      <c r="I74" s="25" t="inlineStr">
        <is>
          <t>Hecho</t>
        </is>
      </c>
      <c r="J74" s="24" t="inlineStr">
        <is>
          <t>Sebastián Acevedo</t>
        </is>
      </c>
      <c r="K74" s="25" t="n"/>
      <c r="L74" s="2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29" customHeight="1" s="29">
      <c r="A75" s="24" t="inlineStr">
        <is>
          <t>T-26</t>
        </is>
      </c>
      <c r="B75" s="24" t="inlineStr">
        <is>
          <t>Tarea</t>
        </is>
      </c>
      <c r="C75" s="24" t="inlineStr">
        <is>
          <t>Conservar la ruta de práctica al recargar en la versión web</t>
        </is>
      </c>
      <c r="D75" s="24" t="n"/>
      <c r="E75" s="24" t="n"/>
      <c r="F75" s="25" t="n"/>
      <c r="G75" s="25" t="n"/>
      <c r="H75" s="25" t="inlineStr">
        <is>
          <t>Iteración 5</t>
        </is>
      </c>
      <c r="I75" s="25" t="inlineStr">
        <is>
          <t>Hecho</t>
        </is>
      </c>
      <c r="J75" s="24" t="inlineStr">
        <is>
          <t>Sebastián Acevedo</t>
        </is>
      </c>
      <c r="K75" s="25" t="n"/>
      <c r="L75" s="2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29" customHeight="1" s="29">
      <c r="A76" s="24" t="inlineStr">
        <is>
          <t>T-27</t>
        </is>
      </c>
      <c r="B76" s="24" t="inlineStr">
        <is>
          <t>Tarea</t>
        </is>
      </c>
      <c r="C76" s="24" t="inlineStr">
        <is>
          <t>Mostrar el formato de cita del enunciado sin el símbolo de marca</t>
        </is>
      </c>
      <c r="D76" s="24" t="n"/>
      <c r="E76" s="24" t="n"/>
      <c r="F76" s="25" t="n"/>
      <c r="G76" s="25" t="n"/>
      <c r="H76" s="25" t="inlineStr">
        <is>
          <t>Iteración 4</t>
        </is>
      </c>
      <c r="I76" s="25" t="inlineStr">
        <is>
          <t>Hecho</t>
        </is>
      </c>
      <c r="J76" s="24" t="inlineStr">
        <is>
          <t>Sebastián Acevedo</t>
        </is>
      </c>
      <c r="K76" s="25" t="n"/>
      <c r="L76" s="2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29" customHeight="1" s="29">
      <c r="A77" s="24" t="inlineStr">
        <is>
          <t>T-55</t>
        </is>
      </c>
      <c r="B77" s="24" t="inlineStr">
        <is>
          <t>Tarea</t>
        </is>
      </c>
      <c r="C77" s="24" t="inlineStr">
        <is>
          <t>Agregar el botón de inicio en las pantallas del módulo</t>
        </is>
      </c>
      <c r="D77" s="24" t="n"/>
      <c r="E77" s="24" t="n"/>
      <c r="F77" s="25" t="n"/>
      <c r="G77" s="25" t="n"/>
      <c r="H77" s="25" t="inlineStr">
        <is>
          <t>Iteración 6</t>
        </is>
      </c>
      <c r="I77" s="25" t="inlineStr">
        <is>
          <t>Hecho</t>
        </is>
      </c>
      <c r="J77" s="24" t="inlineStr">
        <is>
          <t>Sebastián Acevedo</t>
        </is>
      </c>
      <c r="K77" s="25" t="n"/>
      <c r="L77" s="2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81" customHeight="1" s="29">
      <c r="A78" s="22" t="inlineStr">
        <is>
          <t>HU-23</t>
        </is>
      </c>
      <c r="B78" s="22" t="inlineStr">
        <is>
          <t>Historia de usuario</t>
        </is>
      </c>
      <c r="C78" s="22" t="inlineStr">
        <is>
          <t>Alternativas en orden aleatorio</t>
        </is>
      </c>
      <c r="D78" s="22" t="inlineStr">
        <is>
          <t>Como estudiante, quiero que las alternativas aparezcan en un orden distinto cada vez que recibo una pregunta para responder por su contenido y no por su posición.</t>
        </is>
      </c>
      <c r="E78" s="22" t="inlineStr">
        <is>
          <t>Las alternativas se entregan en un orden aleatorio en cada entrega, también en el facsímil; el orden se conserva al recargar la pregunta pendiente; la respuesta se evalúa contra la alternativa original y la alternativa correcta se informa según el orden mostrado; las explicaciones no nombran alternativas por su letra. Pedido de la contraparte del 28/10/2026.</t>
        </is>
      </c>
      <c r="F78" s="23" t="inlineStr">
        <is>
          <t>Alta</t>
        </is>
      </c>
      <c r="G78" s="23" t="n">
        <v>3</v>
      </c>
      <c r="H78" s="23" t="inlineStr">
        <is>
          <t>Iteración 9</t>
        </is>
      </c>
      <c r="I78" s="23" t="inlineStr">
        <is>
          <t>Pendiente</t>
        </is>
      </c>
      <c r="J78" s="22" t="inlineStr">
        <is>
          <t>Jeremías / Sebastián</t>
        </is>
      </c>
      <c r="K78" s="23" t="inlineStr">
        <is>
          <t>OE2</t>
        </is>
      </c>
      <c r="L78" s="22" t="inlineStr">
        <is>
          <t>1.3.3.1 · 1.3.4.1</t>
        </is>
      </c>
    </row>
    <row r="79" ht="16" customHeight="1" s="29">
      <c r="A79" s="19" t="inlineStr">
        <is>
          <t>F3.2</t>
        </is>
      </c>
      <c r="B79" s="19" t="inlineStr">
        <is>
          <t>Característica</t>
        </is>
      </c>
      <c r="C79" s="19" t="inlineStr">
        <is>
          <t>Respuesta y resultado</t>
        </is>
      </c>
      <c r="D79" s="19" t="n"/>
      <c r="E79" s="19" t="n"/>
      <c r="F79" s="20" t="n"/>
      <c r="G79" s="20" t="n"/>
      <c r="H79" s="20" t="n"/>
      <c r="I79" s="20" t="n"/>
      <c r="J79" s="19" t="n"/>
      <c r="K79" s="20" t="n"/>
      <c r="L79" s="19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29" customHeight="1" s="29">
      <c r="A80" s="22" t="inlineStr">
        <is>
          <t>HU-03</t>
        </is>
      </c>
      <c r="B80" s="22" t="inlineStr">
        <is>
          <t>Historia de usuario</t>
        </is>
      </c>
      <c r="C80" s="22" t="inlineStr">
        <is>
          <t>Registro de la respuesta</t>
        </is>
      </c>
      <c r="D80" s="22" t="inlineStr">
        <is>
          <t>Como estudiante, quiero seleccionar y enviar una alternativa para conocer si mi respuesta fue correcta.</t>
        </is>
      </c>
      <c r="E80" s="22" t="inlineStr">
        <is>
          <t>La respuesta queda registrada, el sistema informa si fue correcta y, si lo fue, otorga una medalla de bronce.</t>
        </is>
      </c>
      <c r="F80" s="23" t="inlineStr">
        <is>
          <t>Alta</t>
        </is>
      </c>
      <c r="G80" s="23" t="n">
        <v>5</v>
      </c>
      <c r="H80" s="23" t="inlineStr">
        <is>
          <t>Iteración 4</t>
        </is>
      </c>
      <c r="I80" s="23" t="inlineStr">
        <is>
          <t>Hecho</t>
        </is>
      </c>
      <c r="J80" s="22" t="inlineStr">
        <is>
          <t>Jeremías Fernández</t>
        </is>
      </c>
      <c r="K80" s="23" t="inlineStr">
        <is>
          <t>OE2</t>
        </is>
      </c>
      <c r="L80" s="22" t="inlineStr">
        <is>
          <t>1.3.3.1</t>
        </is>
      </c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29" customHeight="1" s="29">
      <c r="A81" s="24" t="inlineStr">
        <is>
          <t>T-28</t>
        </is>
      </c>
      <c r="B81" s="24" t="inlineStr">
        <is>
          <t>Tarea</t>
        </is>
      </c>
      <c r="C81" s="24" t="inlineStr">
        <is>
          <t>Calcular el tiempo de respuesta desde la entrega registrada por el servidor</t>
        </is>
      </c>
      <c r="D81" s="24" t="n"/>
      <c r="E81" s="24" t="n"/>
      <c r="F81" s="25" t="n"/>
      <c r="G81" s="25" t="n"/>
      <c r="H81" s="25" t="inlineStr">
        <is>
          <t>Iteración 4</t>
        </is>
      </c>
      <c r="I81" s="25" t="inlineStr">
        <is>
          <t>Hecho</t>
        </is>
      </c>
      <c r="J81" s="24" t="inlineStr">
        <is>
          <t>Jeremías Fernández</t>
        </is>
      </c>
      <c r="K81" s="25" t="n"/>
      <c r="L81" s="2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42" customHeight="1" s="29">
      <c r="A82" s="24" t="inlineStr">
        <is>
          <t>T-29</t>
        </is>
      </c>
      <c r="B82" s="24" t="inlineStr">
        <is>
          <t>Tarea</t>
        </is>
      </c>
      <c r="C82" s="24" t="inlineStr">
        <is>
          <t>Servicio POST /questions/{id}/answer: registrar, descontar cuota, otorgar medalla y liberar la pendiente</t>
        </is>
      </c>
      <c r="D82" s="24" t="n"/>
      <c r="E82" s="24" t="n"/>
      <c r="F82" s="25" t="n"/>
      <c r="G82" s="25" t="n"/>
      <c r="H82" s="25" t="inlineStr">
        <is>
          <t>Iteración 4</t>
        </is>
      </c>
      <c r="I82" s="25" t="inlineStr">
        <is>
          <t>Hecho</t>
        </is>
      </c>
      <c r="J82" s="24" t="inlineStr">
        <is>
          <t>Jeremías Fernández</t>
        </is>
      </c>
      <c r="K82" s="25" t="n"/>
      <c r="L82" s="2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55" customHeight="1" s="29">
      <c r="A83" s="24" t="inlineStr">
        <is>
          <t>T-49</t>
        </is>
      </c>
      <c r="B83" s="24" t="inlineStr">
        <is>
          <t>Tarea</t>
        </is>
      </c>
      <c r="C83" s="24" t="inlineStr">
        <is>
          <t>Renovar la hora de entrega de una pregunta pendiente de un día anterior y limitar a cinco minutos el tiempo registrado (H-22)</t>
        </is>
      </c>
      <c r="D83" s="24" t="n"/>
      <c r="E83" s="24" t="n"/>
      <c r="F83" s="25" t="n"/>
      <c r="G83" s="25" t="n"/>
      <c r="H83" s="25" t="inlineStr">
        <is>
          <t>Iteración 6</t>
        </is>
      </c>
      <c r="I83" s="25" t="inlineStr">
        <is>
          <t>Hecho</t>
        </is>
      </c>
      <c r="J83" s="24" t="inlineStr">
        <is>
          <t>Jeremías Fernández</t>
        </is>
      </c>
      <c r="K83" s="25" t="n"/>
      <c r="L83" s="2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55" customHeight="1" s="29">
      <c r="A84" s="24" t="inlineStr">
        <is>
          <t>T-53</t>
        </is>
      </c>
      <c r="B84" s="24" t="inlineStr">
        <is>
          <t>Tarea</t>
        </is>
      </c>
      <c r="C84" s="24" t="inlineStr">
        <is>
          <t>Aislar por sesión las operaciones de práctica y revalidar la pendiente sin testId (P1 y P2 de la revisión del PR #54)</t>
        </is>
      </c>
      <c r="D84" s="24" t="n"/>
      <c r="E84" s="24" t="n"/>
      <c r="F84" s="25" t="n"/>
      <c r="G84" s="25" t="n"/>
      <c r="H84" s="25" t="inlineStr">
        <is>
          <t>Iteración 6</t>
        </is>
      </c>
      <c r="I84" s="25" t="inlineStr">
        <is>
          <t>Hecho</t>
        </is>
      </c>
      <c r="J84" s="24" t="inlineStr">
        <is>
          <t>Sebastián Acevedo</t>
        </is>
      </c>
      <c r="K84" s="25" t="n"/>
      <c r="L84" s="2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42" customHeight="1" s="29">
      <c r="A85" s="22" t="inlineStr">
        <is>
          <t>HU-04</t>
        </is>
      </c>
      <c r="B85" s="22" t="inlineStr">
        <is>
          <t>Historia de usuario</t>
        </is>
      </c>
      <c r="C85" s="22" t="inlineStr">
        <is>
          <t>Pantalla Resultado</t>
        </is>
      </c>
      <c r="D85" s="22" t="inlineStr">
        <is>
          <t>Como estudiante, quiero visualizar el resultado de mi respuesta para conocer mi desempeño.</t>
        </is>
      </c>
      <c r="E85" s="22" t="inlineStr">
        <is>
          <t>Se muestra el acierto o error, la alternativa correcta, la explicación breve, el percentil y la medalla obtenida cuando corresponde.</t>
        </is>
      </c>
      <c r="F85" s="23" t="inlineStr">
        <is>
          <t>Alta</t>
        </is>
      </c>
      <c r="G85" s="23" t="n">
        <v>3</v>
      </c>
      <c r="H85" s="23" t="inlineStr">
        <is>
          <t>Iteración 4</t>
        </is>
      </c>
      <c r="I85" s="23" t="inlineStr">
        <is>
          <t>Hecho</t>
        </is>
      </c>
      <c r="J85" s="22" t="inlineStr">
        <is>
          <t>Sebastián Acevedo</t>
        </is>
      </c>
      <c r="K85" s="23" t="inlineStr">
        <is>
          <t>OE2</t>
        </is>
      </c>
      <c r="L85" s="22" t="inlineStr">
        <is>
          <t>1.3.4.2</t>
        </is>
      </c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29" customHeight="1" s="29">
      <c r="A86" s="24" t="inlineStr">
        <is>
          <t>T-31</t>
        </is>
      </c>
      <c r="B86" s="24" t="inlineStr">
        <is>
          <t>Tarea</t>
        </is>
      </c>
      <c r="C86" s="24" t="inlineStr">
        <is>
          <t>Construir la pantalla Resultado integrada con el servicio</t>
        </is>
      </c>
      <c r="D86" s="24" t="n"/>
      <c r="E86" s="24" t="n"/>
      <c r="F86" s="25" t="n"/>
      <c r="G86" s="25" t="n"/>
      <c r="H86" s="25" t="inlineStr">
        <is>
          <t>Iteración 4</t>
        </is>
      </c>
      <c r="I86" s="25" t="inlineStr">
        <is>
          <t>Hecho</t>
        </is>
      </c>
      <c r="J86" s="24" t="inlineStr">
        <is>
          <t>Sebastián Acevedo</t>
        </is>
      </c>
      <c r="K86" s="25" t="n"/>
      <c r="L86" s="2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55" customHeight="1" s="29">
      <c r="A87" s="24" t="inlineStr">
        <is>
          <t>T-43</t>
        </is>
      </c>
      <c r="B87" s="24" t="inlineStr">
        <is>
          <t>Tarea</t>
        </is>
      </c>
      <c r="C87" s="24" t="inlineStr">
        <is>
          <t>Recuperar la pantalla Resultado al recargar (H-15, H-25); el retorno desde la explicación (H-16) quedó resuelto en la iteración 6</t>
        </is>
      </c>
      <c r="D87" s="24" t="n"/>
      <c r="E87" s="24" t="n"/>
      <c r="F87" s="25" t="n"/>
      <c r="G87" s="25" t="n"/>
      <c r="H87" s="25" t="inlineStr">
        <is>
          <t>Iteración 7</t>
        </is>
      </c>
      <c r="I87" s="25" t="inlineStr">
        <is>
          <t>Hecho</t>
        </is>
      </c>
      <c r="J87" s="24" t="inlineStr">
        <is>
          <t>Sebastián Acevedo</t>
        </is>
      </c>
      <c r="K87" s="25" t="n"/>
      <c r="L87" s="2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55" customHeight="1" s="29">
      <c r="A88" s="22" t="inlineStr">
        <is>
          <t>HT-04</t>
        </is>
      </c>
      <c r="B88" s="22" t="inlineStr">
        <is>
          <t>Historia técnica</t>
        </is>
      </c>
      <c r="C88" s="22" t="inlineStr">
        <is>
          <t>Percentil de cohorte precalculado</t>
        </is>
      </c>
      <c r="D88" s="22" t="inlineStr">
        <is>
          <t>Como equipo de desarrollo, queremos mantener un histograma de tiempos de respuesta en cada pregunta para que el resultado muestre el percentil de cohorte sin agregaciones en la consulta.</t>
        </is>
      </c>
      <c r="E88" s="22" t="inlineStr">
        <is>
          <t>El percentil se calcula a partir del histograma de tiempos de la pregunta, que se actualiza con cada respuesta, sin consultas de agregación.</t>
        </is>
      </c>
      <c r="F88" s="23" t="inlineStr">
        <is>
          <t>Media</t>
        </is>
      </c>
      <c r="G88" s="23" t="n">
        <v>3</v>
      </c>
      <c r="H88" s="23" t="inlineStr">
        <is>
          <t>Iteración 4</t>
        </is>
      </c>
      <c r="I88" s="23" t="inlineStr">
        <is>
          <t>Hecho</t>
        </is>
      </c>
      <c r="J88" s="22" t="inlineStr">
        <is>
          <t>Jeremías Fernández</t>
        </is>
      </c>
      <c r="K88" s="23" t="inlineStr">
        <is>
          <t>OE2</t>
        </is>
      </c>
      <c r="L88" s="22" t="inlineStr">
        <is>
          <t>1.3.3.1</t>
        </is>
      </c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29" customHeight="1" s="29">
      <c r="A89" s="24" t="inlineStr">
        <is>
          <t>T-30</t>
        </is>
      </c>
      <c r="B89" s="24" t="inlineStr">
        <is>
          <t>Tarea</t>
        </is>
      </c>
      <c r="C89" s="24" t="inlineStr">
        <is>
          <t>Actualizar el histograma de tiempos y calcular el percentil al responder</t>
        </is>
      </c>
      <c r="D89" s="24" t="n"/>
      <c r="E89" s="24" t="n"/>
      <c r="F89" s="25" t="n"/>
      <c r="G89" s="25" t="n"/>
      <c r="H89" s="25" t="inlineStr">
        <is>
          <t>Iteración 4</t>
        </is>
      </c>
      <c r="I89" s="25" t="inlineStr">
        <is>
          <t>Hecho</t>
        </is>
      </c>
      <c r="J89" s="24" t="inlineStr">
        <is>
          <t>Jeremías Fernández</t>
        </is>
      </c>
      <c r="K89" s="25" t="n"/>
      <c r="L89" s="2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6" customHeight="1" s="29">
      <c r="A90" s="16" t="inlineStr">
        <is>
          <t>E4</t>
        </is>
      </c>
      <c r="B90" s="16" t="inlineStr">
        <is>
          <t>Épica</t>
        </is>
      </c>
      <c r="C90" s="16" t="inlineStr">
        <is>
          <t>Retroalimentación de aprendizaje</t>
        </is>
      </c>
      <c r="D90" s="16" t="inlineStr">
        <is>
          <t>El estudiante comprende su error y conoce qué reforzar.</t>
        </is>
      </c>
      <c r="E90" s="16" t="n"/>
      <c r="F90" s="17" t="n"/>
      <c r="G90" s="17" t="n"/>
      <c r="H90" s="17" t="n"/>
      <c r="I90" s="17" t="n"/>
      <c r="J90" s="16" t="n"/>
      <c r="K90" s="17" t="n"/>
      <c r="L90" s="16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6" customHeight="1" s="29">
      <c r="A91" s="19" t="inlineStr">
        <is>
          <t>F4.1</t>
        </is>
      </c>
      <c r="B91" s="19" t="inlineStr">
        <is>
          <t>Característica</t>
        </is>
      </c>
      <c r="C91" s="19" t="inlineStr">
        <is>
          <t>Explicación detallada</t>
        </is>
      </c>
      <c r="D91" s="19" t="n"/>
      <c r="E91" s="19" t="n"/>
      <c r="F91" s="20" t="n"/>
      <c r="G91" s="20" t="n"/>
      <c r="H91" s="20" t="n"/>
      <c r="I91" s="20" t="n"/>
      <c r="J91" s="19" t="n"/>
      <c r="K91" s="20" t="n"/>
      <c r="L91" s="19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42" customHeight="1" s="29">
      <c r="A92" s="22" t="inlineStr">
        <is>
          <t>HU-05</t>
        </is>
      </c>
      <c r="B92" s="22" t="inlineStr">
        <is>
          <t>Historia de usuario</t>
        </is>
      </c>
      <c r="C92" s="22" t="inlineStr">
        <is>
          <t>Explicación detallada</t>
        </is>
      </c>
      <c r="D92" s="22" t="inlineStr">
        <is>
          <t>Como estudiante, quiero consultar una explicación detallada de la pregunta para comprender cómo se obtiene la respuesta correcta.</t>
        </is>
      </c>
      <c r="E92" s="22" t="inlineStr">
        <is>
          <t>Se muestran los pasos de resolución, la verificación y el concepto clave.</t>
        </is>
      </c>
      <c r="F92" s="23" t="inlineStr">
        <is>
          <t>Alta</t>
        </is>
      </c>
      <c r="G92" s="23" t="n">
        <v>3</v>
      </c>
      <c r="H92" s="23" t="inlineStr">
        <is>
          <t>Iteración 5</t>
        </is>
      </c>
      <c r="I92" s="23" t="inlineStr">
        <is>
          <t>Hecho</t>
        </is>
      </c>
      <c r="J92" s="22" t="inlineStr">
        <is>
          <t>Jeremías / Sebastián</t>
        </is>
      </c>
      <c r="K92" s="23" t="inlineStr">
        <is>
          <t>OE2</t>
        </is>
      </c>
      <c r="L92" s="22" t="inlineStr">
        <is>
          <t>1.3.3.1 · 1.3.4.3</t>
        </is>
      </c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55" customHeight="1" s="29">
      <c r="A93" s="24" t="inlineStr">
        <is>
          <t>T-40</t>
        </is>
      </c>
      <c r="B93" s="24" t="inlineStr">
        <is>
          <t>Tarea</t>
        </is>
      </c>
      <c r="C93" s="24" t="inlineStr">
        <is>
          <t>Servicio GET /questions/{id}/explanation con la explicación estructurada, solo para preguntas ya respondidas</t>
        </is>
      </c>
      <c r="D93" s="24" t="n"/>
      <c r="E93" s="24" t="n"/>
      <c r="F93" s="25" t="n"/>
      <c r="G93" s="25" t="n"/>
      <c r="H93" s="25" t="inlineStr">
        <is>
          <t>Iteración 5</t>
        </is>
      </c>
      <c r="I93" s="25" t="inlineStr">
        <is>
          <t>Hecho</t>
        </is>
      </c>
      <c r="J93" s="24" t="inlineStr">
        <is>
          <t>Jeremías Fernández</t>
        </is>
      </c>
      <c r="K93" s="25" t="n"/>
      <c r="L93" s="2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29" customHeight="1" s="29">
      <c r="A94" s="24" t="inlineStr">
        <is>
          <t>T-41</t>
        </is>
      </c>
      <c r="B94" s="24" t="inlineStr">
        <is>
          <t>Tarea</t>
        </is>
      </c>
      <c r="C94" s="24" t="inlineStr">
        <is>
          <t>Construir la pantalla Explicación detallada integrada con el servicio</t>
        </is>
      </c>
      <c r="D94" s="24" t="n"/>
      <c r="E94" s="24" t="n"/>
      <c r="F94" s="25" t="n"/>
      <c r="G94" s="25" t="n"/>
      <c r="H94" s="25" t="inlineStr">
        <is>
          <t>Iteración 5</t>
        </is>
      </c>
      <c r="I94" s="25" t="inlineStr">
        <is>
          <t>Hecho</t>
        </is>
      </c>
      <c r="J94" s="24" t="inlineStr">
        <is>
          <t>Sebastián Acevedo</t>
        </is>
      </c>
      <c r="K94" s="25" t="n"/>
      <c r="L94" s="2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42" customHeight="1" s="29">
      <c r="A95" s="24" t="inlineStr">
        <is>
          <t>T-45</t>
        </is>
      </c>
      <c r="B95" s="24" t="inlineStr">
        <is>
          <t>Tarea</t>
        </is>
      </c>
      <c r="C95" s="24" t="inlineStr">
        <is>
          <t>Mostrar "Disponible próximamente" en la habilidad y la recorrección mientras no existan sus servicios (H-19)</t>
        </is>
      </c>
      <c r="D95" s="24" t="n"/>
      <c r="E95" s="24" t="n"/>
      <c r="F95" s="25" t="n"/>
      <c r="G95" s="25" t="n"/>
      <c r="H95" s="25" t="inlineStr">
        <is>
          <t>Iteración 6</t>
        </is>
      </c>
      <c r="I95" s="25" t="inlineStr">
        <is>
          <t>Hecho</t>
        </is>
      </c>
      <c r="J95" s="24" t="inlineStr">
        <is>
          <t>Sebastián Acevedo</t>
        </is>
      </c>
      <c r="K95" s="25" t="n"/>
      <c r="L95" s="24" t="n"/>
    </row>
    <row r="96" ht="16" customHeight="1" s="29">
      <c r="A96" s="19" t="inlineStr">
        <is>
          <t>F4.2</t>
        </is>
      </c>
      <c r="B96" s="19" t="inlineStr">
        <is>
          <t>Característica</t>
        </is>
      </c>
      <c r="C96" s="19" t="inlineStr">
        <is>
          <t>Habilidad y ruta de aprendizaje</t>
        </is>
      </c>
      <c r="D96" s="19" t="n"/>
      <c r="E96" s="19" t="n"/>
      <c r="F96" s="20" t="n"/>
      <c r="G96" s="20" t="n"/>
      <c r="H96" s="20" t="n"/>
      <c r="I96" s="20" t="n"/>
      <c r="J96" s="19" t="n"/>
      <c r="K96" s="20" t="n"/>
      <c r="L96" s="19" t="n"/>
    </row>
    <row r="97" ht="29" customHeight="1" s="29">
      <c r="A97" s="22" t="inlineStr">
        <is>
          <t>HU-06</t>
        </is>
      </c>
      <c r="B97" s="22" t="inlineStr">
        <is>
          <t>Historia de usuario</t>
        </is>
      </c>
      <c r="C97" s="22" t="inlineStr">
        <is>
          <t>Habilidad evaluada</t>
        </is>
      </c>
      <c r="D97" s="22" t="inlineStr">
        <is>
          <t>Como estudiante, quiero conocer la habilidad evaluada por una pregunta para identificar mi nivel de dominio.</t>
        </is>
      </c>
      <c r="E97" s="22" t="inlineStr">
        <is>
          <t>Se muestran la habilidad, el nivel de dominio, los prerrequisitos y los recursos asociados.</t>
        </is>
      </c>
      <c r="F97" s="23" t="inlineStr">
        <is>
          <t>Media</t>
        </is>
      </c>
      <c r="G97" s="23" t="n">
        <v>5</v>
      </c>
      <c r="H97" s="23" t="inlineStr">
        <is>
          <t>Iteración 6</t>
        </is>
      </c>
      <c r="I97" s="23" t="inlineStr">
        <is>
          <t>Hecho</t>
        </is>
      </c>
      <c r="J97" s="22" t="inlineStr">
        <is>
          <t>Jeremías / Sebastián</t>
        </is>
      </c>
      <c r="K97" s="23" t="inlineStr">
        <is>
          <t>OE2</t>
        </is>
      </c>
      <c r="L97" s="22" t="inlineStr">
        <is>
          <t>1.3.3.1 · 1.3.4.4</t>
        </is>
      </c>
    </row>
    <row r="98" ht="42" customHeight="1" s="29">
      <c r="A98" s="24" t="inlineStr">
        <is>
          <t>T-46</t>
        </is>
      </c>
      <c r="B98" s="24" t="inlineStr">
        <is>
          <t>Tarea</t>
        </is>
      </c>
      <c r="C98" s="24" t="inlineStr">
        <is>
          <t>Servicio GET /questions/{id}/skill con la habilidad, el dominio del alumno, los prerrequisitos y los recursos</t>
        </is>
      </c>
      <c r="D98" s="24" t="n"/>
      <c r="E98" s="24" t="n"/>
      <c r="F98" s="25" t="n"/>
      <c r="G98" s="25" t="n"/>
      <c r="H98" s="25" t="inlineStr">
        <is>
          <t>Iteración 6</t>
        </is>
      </c>
      <c r="I98" s="25" t="inlineStr">
        <is>
          <t>Hecho</t>
        </is>
      </c>
      <c r="J98" s="24" t="inlineStr">
        <is>
          <t>Jeremías Fernández</t>
        </is>
      </c>
      <c r="K98" s="25" t="n"/>
      <c r="L98" s="2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29" customHeight="1" s="29">
      <c r="A99" s="24" t="inlineStr">
        <is>
          <t>T-47</t>
        </is>
      </c>
      <c r="B99" s="24" t="inlineStr">
        <is>
          <t>Tarea</t>
        </is>
      </c>
      <c r="C99" s="24" t="inlineStr">
        <is>
          <t>Construir la pantalla Habilidad evaluada integrada con el servicio</t>
        </is>
      </c>
      <c r="D99" s="24" t="n"/>
      <c r="E99" s="24" t="n"/>
      <c r="F99" s="25" t="n"/>
      <c r="G99" s="25" t="n"/>
      <c r="H99" s="25" t="inlineStr">
        <is>
          <t>Iteración 6</t>
        </is>
      </c>
      <c r="I99" s="25" t="inlineStr">
        <is>
          <t>Hecho</t>
        </is>
      </c>
      <c r="J99" s="24" t="inlineStr">
        <is>
          <t>Sebastián Acevedo</t>
        </is>
      </c>
      <c r="K99" s="25" t="n"/>
      <c r="L99" s="2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29" customHeight="1" s="29">
      <c r="A100" s="24" t="inlineStr">
        <is>
          <t>T-56</t>
        </is>
      </c>
      <c r="B100" s="24" t="inlineStr">
        <is>
          <t>Tarea</t>
        </is>
      </c>
      <c r="C100" s="24" t="inlineStr">
        <is>
          <t>Agregar en Habilidad evaluada el botón Volver hacia la explicación (H-26)</t>
        </is>
      </c>
      <c r="D100" s="24" t="n"/>
      <c r="E100" s="24" t="n"/>
      <c r="F100" s="25" t="n"/>
      <c r="G100" s="25" t="n"/>
      <c r="H100" s="25" t="inlineStr">
        <is>
          <t>Iteración 7</t>
        </is>
      </c>
      <c r="I100" s="25" t="inlineStr">
        <is>
          <t>Hecho</t>
        </is>
      </c>
      <c r="J100" s="24" t="inlineStr">
        <is>
          <t>Sebastián Acevedo</t>
        </is>
      </c>
      <c r="K100" s="25" t="n"/>
      <c r="L100" s="2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29" customHeight="1" s="29">
      <c r="A101" s="24" t="inlineStr">
        <is>
          <t>T-57</t>
        </is>
      </c>
      <c r="B101" s="24" t="inlineStr">
        <is>
          <t>Tarea</t>
        </is>
      </c>
      <c r="C101" s="24" t="inlineStr">
        <is>
          <t>Mostrar en español los estados de la ruta de aprendizaje (H-27)</t>
        </is>
      </c>
      <c r="D101" s="24" t="n"/>
      <c r="E101" s="24" t="n"/>
      <c r="F101" s="25" t="n"/>
      <c r="G101" s="25" t="n"/>
      <c r="H101" s="25" t="inlineStr">
        <is>
          <t>Iteración 7</t>
        </is>
      </c>
      <c r="I101" s="25" t="inlineStr">
        <is>
          <t>Hecho</t>
        </is>
      </c>
      <c r="J101" s="24" t="inlineStr">
        <is>
          <t>Sebastián Acevedo</t>
        </is>
      </c>
      <c r="K101" s="25" t="n"/>
      <c r="L101" s="2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42" customHeight="1" s="29">
      <c r="A102" s="24" t="inlineStr">
        <is>
          <t>T-58</t>
        </is>
      </c>
      <c r="B102" s="24" t="inlineStr">
        <is>
          <t>Tarea</t>
        </is>
      </c>
      <c r="C102" s="24" t="inlineStr">
        <is>
          <t>Corregir el enlace o el tipo del recurso de DEMRE en el banco de demostración (H-28)</t>
        </is>
      </c>
      <c r="D102" s="24" t="n"/>
      <c r="E102" s="24" t="n"/>
      <c r="F102" s="25" t="n"/>
      <c r="G102" s="25" t="n"/>
      <c r="H102" s="25" t="inlineStr">
        <is>
          <t>Iteración 7</t>
        </is>
      </c>
      <c r="I102" s="25" t="inlineStr">
        <is>
          <t>Hecho</t>
        </is>
      </c>
      <c r="J102" s="24" t="inlineStr">
        <is>
          <t>Jeremías Fernández</t>
        </is>
      </c>
      <c r="K102" s="25" t="n"/>
      <c r="L102" s="2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6" customHeight="1" s="29">
      <c r="A103" s="19" t="inlineStr">
        <is>
          <t>F4.3</t>
        </is>
      </c>
      <c r="B103" s="19" t="inlineStr">
        <is>
          <t>Característica</t>
        </is>
      </c>
      <c r="C103" s="19" t="inlineStr">
        <is>
          <t>Progreso</t>
        </is>
      </c>
      <c r="D103" s="19" t="n"/>
      <c r="E103" s="19" t="n"/>
      <c r="F103" s="20" t="n"/>
      <c r="G103" s="20" t="n"/>
      <c r="H103" s="20" t="n"/>
      <c r="I103" s="20" t="n"/>
      <c r="J103" s="19" t="n"/>
      <c r="K103" s="20" t="n"/>
      <c r="L103" s="19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29" customHeight="1" s="29">
      <c r="A104" s="22" t="inlineStr">
        <is>
          <t>HU-13</t>
        </is>
      </c>
      <c r="B104" s="22" t="inlineStr">
        <is>
          <t>Historia de usuario</t>
        </is>
      </c>
      <c r="C104" s="22" t="inlineStr">
        <is>
          <t>Progreso por prueba</t>
        </is>
      </c>
      <c r="D104" s="22" t="inlineStr">
        <is>
          <t>Como estudiante, quiero consultar mi progreso por prueba para conocer mi avance.</t>
        </is>
      </c>
      <c r="E104" s="22" t="inlineStr">
        <is>
          <t>El sistema presenta el progreso correspondiente a cada prueba seleccionada.</t>
        </is>
      </c>
      <c r="F104" s="23" t="inlineStr">
        <is>
          <t>Baja</t>
        </is>
      </c>
      <c r="G104" s="23" t="n">
        <v>3</v>
      </c>
      <c r="H104" s="23" t="inlineStr">
        <is>
          <t>Iteración 9</t>
        </is>
      </c>
      <c r="I104" s="23" t="inlineStr">
        <is>
          <t>Pendiente</t>
        </is>
      </c>
      <c r="J104" s="22" t="inlineStr">
        <is>
          <t>Jeremías / Sebastián</t>
        </is>
      </c>
      <c r="K104" s="23" t="inlineStr">
        <is>
          <t>OE2</t>
        </is>
      </c>
      <c r="L104" s="22" t="inlineStr">
        <is>
          <t>1.3.3.4</t>
        </is>
      </c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6" customHeight="1" s="29">
      <c r="A105" s="16" t="inlineStr">
        <is>
          <t>E5</t>
        </is>
      </c>
      <c r="B105" s="16" t="inlineStr">
        <is>
          <t>Épica</t>
        </is>
      </c>
      <c r="C105" s="16" t="inlineStr">
        <is>
          <t>Acceso al contenido</t>
        </is>
      </c>
      <c r="D105" s="16" t="inlineStr">
        <is>
          <t>Cuota diaria escalonada y su ampliación.</t>
        </is>
      </c>
      <c r="E105" s="16" t="n"/>
      <c r="F105" s="17" t="n"/>
      <c r="G105" s="17" t="n"/>
      <c r="H105" s="17" t="n"/>
      <c r="I105" s="17" t="n"/>
      <c r="J105" s="16" t="n"/>
      <c r="K105" s="17" t="n"/>
      <c r="L105" s="16" t="n"/>
    </row>
    <row r="106" ht="16" customHeight="1" s="29">
      <c r="A106" s="19" t="inlineStr">
        <is>
          <t>F5.1</t>
        </is>
      </c>
      <c r="B106" s="19" t="inlineStr">
        <is>
          <t>Característica</t>
        </is>
      </c>
      <c r="C106" s="19" t="inlineStr">
        <is>
          <t>Cuota diaria y desbloqueo</t>
        </is>
      </c>
      <c r="D106" s="19" t="n"/>
      <c r="E106" s="19" t="n"/>
      <c r="F106" s="20" t="n"/>
      <c r="G106" s="20" t="n"/>
      <c r="H106" s="20" t="n"/>
      <c r="I106" s="20" t="n"/>
      <c r="J106" s="19" t="n"/>
      <c r="K106" s="20" t="n"/>
      <c r="L106" s="19" t="n"/>
    </row>
    <row r="107" ht="29" customHeight="1" s="29">
      <c r="A107" s="22" t="inlineStr">
        <is>
          <t>HU-07</t>
        </is>
      </c>
      <c r="B107" s="22" t="inlineStr">
        <is>
          <t>Historia de usuario</t>
        </is>
      </c>
      <c r="C107" s="22" t="inlineStr">
        <is>
          <t>Consulta de la cuota</t>
        </is>
      </c>
      <c r="D107" s="22" t="inlineStr">
        <is>
          <t>Como estudiante, quiero consultar mi cuota diaria de preguntas para saber cuántas puedo responder.</t>
        </is>
      </c>
      <c r="E107" s="22" t="inlineStr">
        <is>
          <t>Se muestran la cantidad utilizada, el máximo disponible y las bonificaciones obtenidas, y la cuota se reinicia a diario.</t>
        </is>
      </c>
      <c r="F107" s="23" t="inlineStr">
        <is>
          <t>Media</t>
        </is>
      </c>
      <c r="G107" s="23" t="n">
        <v>2</v>
      </c>
      <c r="H107" s="23" t="inlineStr">
        <is>
          <t>Iteración 7</t>
        </is>
      </c>
      <c r="I107" s="23" t="inlineStr">
        <is>
          <t>Hecho</t>
        </is>
      </c>
      <c r="J107" s="22" t="inlineStr">
        <is>
          <t>Jeremías / Sebastián</t>
        </is>
      </c>
      <c r="K107" s="23" t="inlineStr">
        <is>
          <t>OE3</t>
        </is>
      </c>
      <c r="L107" s="22" t="inlineStr">
        <is>
          <t>1.3.3.2</t>
        </is>
      </c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29" customHeight="1" s="29">
      <c r="A108" s="24" t="inlineStr">
        <is>
          <t>T-36</t>
        </is>
      </c>
      <c r="B108" s="24" t="inlineStr">
        <is>
          <t>Tarea</t>
        </is>
      </c>
      <c r="C108" s="24" t="inlineStr">
        <is>
          <t>Calcular la cuota con base 10 y tope 20, usando qDay del plan como tope</t>
        </is>
      </c>
      <c r="D108" s="24" t="n"/>
      <c r="E108" s="24" t="n"/>
      <c r="F108" s="25" t="n"/>
      <c r="G108" s="25" t="n"/>
      <c r="H108" s="25" t="inlineStr">
        <is>
          <t>Iteración 4</t>
        </is>
      </c>
      <c r="I108" s="25" t="inlineStr">
        <is>
          <t>Hecho</t>
        </is>
      </c>
      <c r="J108" s="24" t="inlineStr">
        <is>
          <t>Jeremías Fernández</t>
        </is>
      </c>
      <c r="K108" s="25" t="n"/>
      <c r="L108" s="2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42" customHeight="1" s="29">
      <c r="A109" s="24" t="inlineStr">
        <is>
          <t>T-61</t>
        </is>
      </c>
      <c r="B109" s="24" t="inlineStr">
        <is>
          <t>Tarea</t>
        </is>
      </c>
      <c r="C109" s="24" t="inlineStr">
        <is>
          <t>Servicio GET /me/quota con la cuota usada, el máximo, los bonos y el reinicio diario</t>
        </is>
      </c>
      <c r="D109" s="24" t="n"/>
      <c r="E109" s="24" t="n"/>
      <c r="F109" s="25" t="n"/>
      <c r="G109" s="25" t="n"/>
      <c r="H109" s="25" t="inlineStr">
        <is>
          <t>Iteración 7</t>
        </is>
      </c>
      <c r="I109" s="25" t="inlineStr">
        <is>
          <t>Hecho</t>
        </is>
      </c>
      <c r="J109" s="24" t="inlineStr">
        <is>
          <t>Jeremías Fernández</t>
        </is>
      </c>
      <c r="K109" s="25" t="n"/>
      <c r="L109" s="2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42" customHeight="1" s="29">
      <c r="A110" s="24" t="inlineStr">
        <is>
          <t>T-63</t>
        </is>
      </c>
      <c r="B110" s="24" t="inlineStr">
        <is>
          <t>Tarea</t>
        </is>
      </c>
      <c r="C110" s="24" t="inlineStr">
        <is>
          <t>Mostrar la cuota diaria en Inicio y en la pantalla de desbloqueo con GET /me/quota</t>
        </is>
      </c>
      <c r="D110" s="24" t="n"/>
      <c r="E110" s="24" t="n"/>
      <c r="F110" s="25" t="n"/>
      <c r="G110" s="25" t="n"/>
      <c r="H110" s="25" t="inlineStr">
        <is>
          <t>Iteración 7</t>
        </is>
      </c>
      <c r="I110" s="25" t="inlineStr">
        <is>
          <t>Hecho</t>
        </is>
      </c>
      <c r="J110" s="24" t="inlineStr">
        <is>
          <t>Sebastián Acevedo</t>
        </is>
      </c>
      <c r="K110" s="25" t="n"/>
      <c r="L110" s="2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42" customHeight="1" s="29">
      <c r="A111" s="24" t="inlineStr">
        <is>
          <t>T-65</t>
        </is>
      </c>
      <c r="B111" s="24" t="inlineStr">
        <is>
          <t>Tarea</t>
        </is>
      </c>
      <c r="C111" s="24" t="inlineStr">
        <is>
          <t>Mostrar "+5 región" y ocultar el detalle de la cuota con plan ilimitado en Inicio (H-31)</t>
        </is>
      </c>
      <c r="D111" s="24" t="n"/>
      <c r="E111" s="24" t="n"/>
      <c r="F111" s="25" t="n"/>
      <c r="G111" s="25" t="n"/>
      <c r="H111" s="25" t="inlineStr">
        <is>
          <t>Iteración 7</t>
        </is>
      </c>
      <c r="I111" s="25" t="inlineStr">
        <is>
          <t>Hecho</t>
        </is>
      </c>
      <c r="J111" s="24" t="inlineStr">
        <is>
          <t>Sebastián Acevedo</t>
        </is>
      </c>
      <c r="K111" s="25" t="n"/>
      <c r="L111" s="2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42" customHeight="1" s="29">
      <c r="A112" s="22" t="inlineStr">
        <is>
          <t>HU-08</t>
        </is>
      </c>
      <c r="B112" s="22" t="inlineStr">
        <is>
          <t>Historia de usuario</t>
        </is>
      </c>
      <c r="C112" s="22" t="inlineStr">
        <is>
          <t>Desbloqueo de cuota</t>
        </is>
      </c>
      <c r="D112" s="22" t="inlineStr">
        <is>
          <t>Como estudiante, quiero desbloquear preguntas adicionales entregando información permitida para aumentar mi cuota diaria.</t>
        </is>
      </c>
      <c r="E112" s="22" t="inlineStr">
        <is>
          <t>Declarar colegio o región aumenta la cuota en cinco preguntas cada uno, sin superar el máximo de veinte; cada bonificación se reclama una sola vez y otorga una medalla de bronce.</t>
        </is>
      </c>
      <c r="F112" s="23" t="inlineStr">
        <is>
          <t>Alta</t>
        </is>
      </c>
      <c r="G112" s="23" t="n">
        <v>5</v>
      </c>
      <c r="H112" s="23" t="inlineStr">
        <is>
          <t>Iteración 7</t>
        </is>
      </c>
      <c r="I112" s="23" t="inlineStr">
        <is>
          <t>Hecho</t>
        </is>
      </c>
      <c r="J112" s="22" t="inlineStr">
        <is>
          <t>Jeremías / Sebastián</t>
        </is>
      </c>
      <c r="K112" s="23" t="inlineStr">
        <is>
          <t>OE3</t>
        </is>
      </c>
      <c r="L112" s="22" t="inlineStr">
        <is>
          <t>1.3.3.2 · 1.3.4.6</t>
        </is>
      </c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29" customHeight="1" s="29">
      <c r="A113" s="24" t="inlineStr">
        <is>
          <t>T-54</t>
        </is>
      </c>
      <c r="B113" s="24" t="inlineStr">
        <is>
          <t>Tarea</t>
        </is>
      </c>
      <c r="C113" s="24" t="inlineStr">
        <is>
          <t>Retirar el campo Edad del formulario de desbloqueo (H-10)</t>
        </is>
      </c>
      <c r="D113" s="24" t="n"/>
      <c r="E113" s="24" t="n"/>
      <c r="F113" s="25" t="n"/>
      <c r="G113" s="25" t="n"/>
      <c r="H113" s="25" t="inlineStr">
        <is>
          <t>Iteración 6</t>
        </is>
      </c>
      <c r="I113" s="25" t="inlineStr">
        <is>
          <t>Hecho</t>
        </is>
      </c>
      <c r="J113" s="24" t="inlineStr">
        <is>
          <t>Sebastián Acevedo</t>
        </is>
      </c>
      <c r="K113" s="25" t="n"/>
      <c r="L113" s="2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42" customHeight="1" s="29">
      <c r="A114" s="24" t="inlineStr">
        <is>
          <t>T-59</t>
        </is>
      </c>
      <c r="B114" s="24" t="inlineStr">
        <is>
          <t>Tarea</t>
        </is>
      </c>
      <c r="C114" s="24" t="inlineStr">
        <is>
          <t>Mostrar directamente la pantalla de desbloqueo cuando la cuota está agotada (H-29)</t>
        </is>
      </c>
      <c r="D114" s="24" t="n"/>
      <c r="E114" s="24" t="n"/>
      <c r="F114" s="25" t="n"/>
      <c r="G114" s="25" t="n"/>
      <c r="H114" s="25" t="inlineStr">
        <is>
          <t>Iteración 7</t>
        </is>
      </c>
      <c r="I114" s="25" t="inlineStr">
        <is>
          <t>Hecho</t>
        </is>
      </c>
      <c r="J114" s="24" t="inlineStr">
        <is>
          <t>Sebastián Acevedo</t>
        </is>
      </c>
      <c r="K114" s="25" t="n"/>
      <c r="L114" s="2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42" customHeight="1" s="29">
      <c r="A115" s="24" t="inlineStr">
        <is>
          <t>T-62</t>
        </is>
      </c>
      <c r="B115" s="24" t="inlineStr">
        <is>
          <t>Tarea</t>
        </is>
      </c>
      <c r="C115" s="24" t="inlineStr">
        <is>
          <t>Servicio POST /me/quota/unlock con los bonos de colegio y región, el tope de 20 y la medalla de bronce</t>
        </is>
      </c>
      <c r="D115" s="24" t="n"/>
      <c r="E115" s="24" t="n"/>
      <c r="F115" s="25" t="n"/>
      <c r="G115" s="25" t="n"/>
      <c r="H115" s="25" t="inlineStr">
        <is>
          <t>Iteración 7</t>
        </is>
      </c>
      <c r="I115" s="25" t="inlineStr">
        <is>
          <t>Hecho</t>
        </is>
      </c>
      <c r="J115" s="24" t="inlineStr">
        <is>
          <t>Jeremías Fernández</t>
        </is>
      </c>
      <c r="K115" s="25" t="n"/>
      <c r="L115" s="2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42" customHeight="1" s="29">
      <c r="A116" s="24" t="inlineStr">
        <is>
          <t>T-64</t>
        </is>
      </c>
      <c r="B116" s="24" t="inlineStr">
        <is>
          <t>Tarea</t>
        </is>
      </c>
      <c r="C116" s="24" t="inlineStr">
        <is>
          <t>Integrar la pantalla de desbloqueo con los dos bonos, las 16 regiones y la medalla obtenida</t>
        </is>
      </c>
      <c r="D116" s="24" t="n"/>
      <c r="E116" s="24" t="n"/>
      <c r="F116" s="25" t="n"/>
      <c r="G116" s="25" t="n"/>
      <c r="H116" s="25" t="inlineStr">
        <is>
          <t>Iteración 7</t>
        </is>
      </c>
      <c r="I116" s="25" t="inlineStr">
        <is>
          <t>Hecho</t>
        </is>
      </c>
      <c r="J116" s="24" t="inlineStr">
        <is>
          <t>Sebastián Acevedo</t>
        </is>
      </c>
      <c r="K116" s="25" t="n"/>
      <c r="L116" s="2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42" customHeight="1" s="29">
      <c r="A117" s="24" t="inlineStr">
        <is>
          <t>T-66</t>
        </is>
      </c>
      <c r="B117" s="24" t="inlineStr">
        <is>
          <t>Tarea</t>
        </is>
      </c>
      <c r="C117" s="24" t="inlineStr">
        <is>
          <t>Actualizar las medallas de Inicio al responder o reclamar un bono, sin recargar (H-32)</t>
        </is>
      </c>
      <c r="D117" s="24" t="n"/>
      <c r="E117" s="24" t="n"/>
      <c r="F117" s="25" t="n"/>
      <c r="G117" s="25" t="n"/>
      <c r="H117" s="25" t="inlineStr">
        <is>
          <t>Iteración 7</t>
        </is>
      </c>
      <c r="I117" s="25" t="inlineStr">
        <is>
          <t>Hecho</t>
        </is>
      </c>
      <c r="J117" s="24" t="inlineStr">
        <is>
          <t>Sebastián Acevedo</t>
        </is>
      </c>
      <c r="K117" s="25" t="n"/>
      <c r="L117" s="2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6" customHeight="1" s="29">
      <c r="A118" s="16" t="inlineStr">
        <is>
          <t>E6</t>
        </is>
      </c>
      <c r="B118" s="16" t="inlineStr">
        <is>
          <t>Épica</t>
        </is>
      </c>
      <c r="C118" s="16" t="inlineStr">
        <is>
          <t>Calidad del contenido</t>
        </is>
      </c>
      <c r="D118" s="16" t="inlineStr">
        <is>
          <t>Los estudiantes reportan preguntas con errores.</t>
        </is>
      </c>
      <c r="E118" s="16" t="n"/>
      <c r="F118" s="17" t="n"/>
      <c r="G118" s="17" t="n"/>
      <c r="H118" s="17" t="n"/>
      <c r="I118" s="17" t="n"/>
      <c r="J118" s="16" t="n"/>
      <c r="K118" s="17" t="n"/>
      <c r="L118" s="16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6" customHeight="1" s="29">
      <c r="A119" s="19" t="inlineStr">
        <is>
          <t>F6.1</t>
        </is>
      </c>
      <c r="B119" s="19" t="inlineStr">
        <is>
          <t>Característica</t>
        </is>
      </c>
      <c r="C119" s="19" t="inlineStr">
        <is>
          <t>Recorrección</t>
        </is>
      </c>
      <c r="D119" s="19" t="n"/>
      <c r="E119" s="19" t="n"/>
      <c r="F119" s="20" t="n"/>
      <c r="G119" s="20" t="n"/>
      <c r="H119" s="20" t="n"/>
      <c r="I119" s="20" t="n"/>
      <c r="J119" s="19" t="n"/>
      <c r="K119" s="20" t="n"/>
      <c r="L119" s="19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42" customHeight="1" s="29">
      <c r="A120" s="22" t="inlineStr">
        <is>
          <t>HU-09</t>
        </is>
      </c>
      <c r="B120" s="22" t="inlineStr">
        <is>
          <t>Historia de usuario</t>
        </is>
      </c>
      <c r="C120" s="22" t="inlineStr">
        <is>
          <t>Solicitud de recorrección</t>
        </is>
      </c>
      <c r="D120" s="22" t="inlineStr">
        <is>
          <t>Como estudiante, quiero solicitar la revisión de una pregunta que considero incorrecta o problemática para que pueda ser evaluada.</t>
        </is>
      </c>
      <c r="E120" s="22" t="inlineStr">
        <is>
          <t>Se selecciona un motivo, la alternativa que el estudiante considera correcta y un comentario opcional, y la solicitud se registra con los campos que utiliza la consola de administración.</t>
        </is>
      </c>
      <c r="F120" s="23" t="inlineStr">
        <is>
          <t>Media</t>
        </is>
      </c>
      <c r="G120" s="23" t="n">
        <v>5</v>
      </c>
      <c r="H120" s="23" t="inlineStr">
        <is>
          <t>Iteración 8</t>
        </is>
      </c>
      <c r="I120" s="23" t="inlineStr">
        <is>
          <t>Hecho</t>
        </is>
      </c>
      <c r="J120" s="22" t="inlineStr">
        <is>
          <t>Jeremías / Sebastián</t>
        </is>
      </c>
      <c r="K120" s="23" t="inlineStr">
        <is>
          <t>OE3</t>
        </is>
      </c>
      <c r="L120" s="22" t="inlineStr">
        <is>
          <t>1.3.3.3 · 1.3.4.5</t>
        </is>
      </c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81" customHeight="1" s="29">
      <c r="A121" s="24" t="inlineStr">
        <is>
          <t>T-69</t>
        </is>
      </c>
      <c r="B121" s="24" t="inlineStr">
        <is>
          <t>Tarea</t>
        </is>
      </c>
      <c r="C121" s="24" t="inlineStr">
        <is>
          <t>Servicio POST /corrections con el motivo, la alternativa propuesta obligatoria si el motivo es la respuesta, el comentario opcional, la recompensa posible y una sola solicitud abierta por pregunta</t>
        </is>
      </c>
      <c r="D121" s="24" t="n"/>
      <c r="E121" s="24" t="n"/>
      <c r="F121" s="25" t="n"/>
      <c r="G121" s="25" t="n"/>
      <c r="H121" s="25" t="inlineStr">
        <is>
          <t>Iteración 8</t>
        </is>
      </c>
      <c r="I121" s="25" t="inlineStr">
        <is>
          <t>Hecho</t>
        </is>
      </c>
      <c r="J121" s="24" t="inlineStr">
        <is>
          <t>Jeremías Fernández</t>
        </is>
      </c>
      <c r="K121" s="25" t="n"/>
      <c r="L121" s="2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68" customHeight="1" s="29">
      <c r="A122" s="24" t="inlineStr">
        <is>
          <t>T-71</t>
        </is>
      </c>
      <c r="B122" s="24" t="inlineStr">
        <is>
          <t>Tarea</t>
        </is>
      </c>
      <c r="C122" s="24" t="inlineStr">
        <is>
          <t>Formulario Solicitar revisión desde Explicación, sin motivo preseleccionado (H-20), con la alternativa propuesta y la confirmación de la recompensa posible</t>
        </is>
      </c>
      <c r="D122" s="24" t="n"/>
      <c r="E122" s="24" t="n"/>
      <c r="F122" s="25" t="n"/>
      <c r="G122" s="25" t="n"/>
      <c r="H122" s="25" t="inlineStr">
        <is>
          <t>Iteración 8</t>
        </is>
      </c>
      <c r="I122" s="25" t="inlineStr">
        <is>
          <t>Hecho</t>
        </is>
      </c>
      <c r="J122" s="24" t="inlineStr">
        <is>
          <t>Sebastián Acevedo</t>
        </is>
      </c>
      <c r="K122" s="25" t="n"/>
      <c r="L122" s="2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42" customHeight="1" s="29">
      <c r="A123" s="24" t="inlineStr">
        <is>
          <t>T-74</t>
        </is>
      </c>
      <c r="B123" s="24" t="inlineStr">
        <is>
          <t>Tarea</t>
        </is>
      </c>
      <c r="C123" s="24" t="inlineStr">
        <is>
          <t>Mostrar el enunciado de la pregunta en lugar de los identificadores internos en la recorrección (H-35)</t>
        </is>
      </c>
      <c r="D123" s="24" t="n"/>
      <c r="E123" s="24" t="n"/>
      <c r="F123" s="25" t="n"/>
      <c r="G123" s="25" t="n"/>
      <c r="H123" s="25" t="inlineStr">
        <is>
          <t>Por planificar</t>
        </is>
      </c>
      <c r="I123" s="25" t="inlineStr">
        <is>
          <t>Pendiente</t>
        </is>
      </c>
      <c r="J123" s="24" t="inlineStr">
        <is>
          <t>Sebastián Acevedo</t>
        </is>
      </c>
      <c r="K123" s="25" t="n"/>
      <c r="L123" s="2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29" customHeight="1" s="29">
      <c r="A124" s="22" t="inlineStr">
        <is>
          <t>HU-10</t>
        </is>
      </c>
      <c r="B124" s="22" t="inlineStr">
        <is>
          <t>Historia de usuario</t>
        </is>
      </c>
      <c r="C124" s="22" t="inlineStr">
        <is>
          <t>Estado de las recorrecciones</t>
        </is>
      </c>
      <c r="D124" s="22" t="inlineStr">
        <is>
          <t>Como estudiante, quiero consultar el estado de mis solicitudes de recorrección para conocer su resultado.</t>
        </is>
      </c>
      <c r="E124" s="22" t="inlineStr">
        <is>
          <t>Las solicitudes se muestran con estado pendiente, confirmada o rechazada.</t>
        </is>
      </c>
      <c r="F124" s="23" t="inlineStr">
        <is>
          <t>Baja</t>
        </is>
      </c>
      <c r="G124" s="23" t="n">
        <v>2</v>
      </c>
      <c r="H124" s="23" t="inlineStr">
        <is>
          <t>Iteración 8</t>
        </is>
      </c>
      <c r="I124" s="23" t="inlineStr">
        <is>
          <t>Hecho</t>
        </is>
      </c>
      <c r="J124" s="22" t="inlineStr">
        <is>
          <t>Jeremías / Sebastián</t>
        </is>
      </c>
      <c r="K124" s="23" t="inlineStr">
        <is>
          <t>OE3</t>
        </is>
      </c>
      <c r="L124" s="22" t="inlineStr">
        <is>
          <t>1.3.3.3 · 1.3.4.5</t>
        </is>
      </c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42" customHeight="1" s="29">
      <c r="A125" s="24" t="inlineStr">
        <is>
          <t>T-70</t>
        </is>
      </c>
      <c r="B125" s="24" t="inlineStr">
        <is>
          <t>Tarea</t>
        </is>
      </c>
      <c r="C125" s="24" t="inlineStr">
        <is>
          <t>Servicio GET /corrections con las solicitudes del alumno, paginado por cursor y sin notas internas</t>
        </is>
      </c>
      <c r="D125" s="24" t="n"/>
      <c r="E125" s="24" t="n"/>
      <c r="F125" s="25" t="n"/>
      <c r="G125" s="25" t="n"/>
      <c r="H125" s="25" t="inlineStr">
        <is>
          <t>Iteración 8</t>
        </is>
      </c>
      <c r="I125" s="25" t="inlineStr">
        <is>
          <t>Hecho</t>
        </is>
      </c>
      <c r="J125" s="24" t="inlineStr">
        <is>
          <t>Jeremías Fernández</t>
        </is>
      </c>
      <c r="K125" s="25" t="n"/>
      <c r="L125" s="2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55" customHeight="1" s="29">
      <c r="A126" s="24" t="inlineStr">
        <is>
          <t>T-72</t>
        </is>
      </c>
      <c r="B126" s="24" t="inlineStr">
        <is>
          <t>Tarea</t>
        </is>
      </c>
      <c r="C126" s="24" t="inlineStr">
        <is>
          <t>Pantalla Mis recorrecciones con el estado, la fecha y la recompensa de cada solicitud, la paginación y el reintento ante errores</t>
        </is>
      </c>
      <c r="D126" s="24" t="n"/>
      <c r="E126" s="24" t="n"/>
      <c r="F126" s="25" t="n"/>
      <c r="G126" s="25" t="n"/>
      <c r="H126" s="25" t="inlineStr">
        <is>
          <t>Iteración 8</t>
        </is>
      </c>
      <c r="I126" s="25" t="inlineStr">
        <is>
          <t>Hecho</t>
        </is>
      </c>
      <c r="J126" s="24" t="inlineStr">
        <is>
          <t>Sebastián Acevedo</t>
        </is>
      </c>
      <c r="K126" s="25" t="n"/>
      <c r="L126" s="2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6" customHeight="1" s="29">
      <c r="A127" s="16" t="inlineStr">
        <is>
          <t>E7</t>
        </is>
      </c>
      <c r="B127" s="16" t="inlineStr">
        <is>
          <t>Épica</t>
        </is>
      </c>
      <c r="C127" s="16" t="inlineStr">
        <is>
          <t>Práctica sin conexión</t>
        </is>
      </c>
      <c r="D127" s="16" t="inlineStr">
        <is>
          <t>El estudiante continúa practicando ante fallas de red.</t>
        </is>
      </c>
      <c r="E127" s="16" t="n"/>
      <c r="F127" s="17" t="n"/>
      <c r="G127" s="17" t="n"/>
      <c r="H127" s="17" t="n"/>
      <c r="I127" s="17" t="n"/>
      <c r="J127" s="16" t="n"/>
      <c r="K127" s="17" t="n"/>
      <c r="L127" s="16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6" customHeight="1" s="29">
      <c r="A128" s="19" t="inlineStr">
        <is>
          <t>F7.1</t>
        </is>
      </c>
      <c r="B128" s="19" t="inlineStr">
        <is>
          <t>Característica</t>
        </is>
      </c>
      <c r="C128" s="19" t="inlineStr">
        <is>
          <t>Almacenamiento local</t>
        </is>
      </c>
      <c r="D128" s="19" t="n"/>
      <c r="E128" s="19" t="n"/>
      <c r="F128" s="20" t="n"/>
      <c r="G128" s="20" t="n"/>
      <c r="H128" s="20" t="n"/>
      <c r="I128" s="20" t="n"/>
      <c r="J128" s="19" t="n"/>
      <c r="K128" s="20" t="n"/>
      <c r="L128" s="19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42" customHeight="1" s="29">
      <c r="A129" s="22" t="inlineStr">
        <is>
          <t>HU-14</t>
        </is>
      </c>
      <c r="B129" s="22" t="inlineStr">
        <is>
          <t>Historia de usuario</t>
        </is>
      </c>
      <c r="C129" s="22" t="inlineStr">
        <is>
          <t>Práctica sin conexión</t>
        </is>
      </c>
      <c r="D129" s="22" t="inlineStr">
        <is>
          <t>Como estudiante, quiero acceder a la última información almacenada cuando pierda la conexión para seguir practicando con el contenido disponible.</t>
        </is>
      </c>
      <c r="E129" s="22" t="inlineStr">
        <is>
          <t>Ante una falla de red, la aplicación recupera la última copia disponible, tanto en dispositivos móviles como en navegador web.</t>
        </is>
      </c>
      <c r="F129" s="23" t="inlineStr">
        <is>
          <t>Media</t>
        </is>
      </c>
      <c r="G129" s="23" t="n">
        <v>8</v>
      </c>
      <c r="H129" s="23" t="inlineStr">
        <is>
          <t>Iteración 9</t>
        </is>
      </c>
      <c r="I129" s="23" t="inlineStr">
        <is>
          <t>Pendiente</t>
        </is>
      </c>
      <c r="J129" s="22" t="inlineStr">
        <is>
          <t>Sebastián Acevedo</t>
        </is>
      </c>
      <c r="K129" s="23" t="inlineStr">
        <is>
          <t>OE1</t>
        </is>
      </c>
      <c r="L129" s="22" t="inlineStr">
        <is>
          <t>1.3.5.2</t>
        </is>
      </c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9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9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9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9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9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9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9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9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9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9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9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9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9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9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9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9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9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9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9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9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9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9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9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9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9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9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9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9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9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9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9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9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9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9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9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9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9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9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9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9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9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9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9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9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9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9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9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9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9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9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9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9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9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9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9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9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9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9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9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9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9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9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9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9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9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9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9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9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9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9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9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9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</row>
    <row r="1003">
      <c r="A1003" s="4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</row>
    <row r="1004">
      <c r="A1004" s="4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</row>
    <row r="1005">
      <c r="A1005" s="4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</row>
    <row r="1006">
      <c r="A1006" s="4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</row>
    <row r="1007">
      <c r="A1007" s="4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</row>
  </sheetData>
  <autoFilter ref="A5:L129"/>
  <pageMargins left="0.75" right="0.75" top="1" bottom="1" header="0" footer="0"/>
  <pageSetup orientation="landscape" paperSize="9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29" min="1" max="1"/>
    <col width="18" customWidth="1" style="29" min="2" max="5"/>
    <col width="8.710000000000001" customWidth="1" style="29" min="6" max="7"/>
  </cols>
  <sheetData>
    <row r="1" ht="17.25" customHeight="1" s="29">
      <c r="A1" s="1" t="inlineStr">
        <is>
          <t>Resumen por iteración</t>
        </is>
      </c>
      <c r="B1" s="2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" customHeight="1" s="29">
      <c r="A2" s="5" t="n"/>
      <c r="B2" s="2" t="n"/>
      <c r="C2" s="3" t="n"/>
      <c r="D2" s="3" t="n"/>
      <c r="E2" s="3" t="n"/>
      <c r="F2" s="3" t="n"/>
      <c r="G2" s="3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" customHeight="1" s="29">
      <c r="A3" s="2" t="n"/>
      <c r="B3" s="2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" customHeight="1" s="29">
      <c r="A4" s="9" t="inlineStr">
        <is>
          <t>Iteración</t>
        </is>
      </c>
      <c r="B4" s="9" t="inlineStr">
        <is>
          <t>Historias</t>
        </is>
      </c>
      <c r="C4" s="9" t="inlineStr">
        <is>
          <t>Puntos planificados</t>
        </is>
      </c>
      <c r="D4" s="9" t="inlineStr">
        <is>
          <t>Puntos terminados</t>
        </is>
      </c>
      <c r="E4" s="9" t="inlineStr">
        <is>
          <t>Semana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" customHeight="1" s="29">
      <c r="A5" s="11" t="inlineStr">
        <is>
          <t>Iteración 1</t>
        </is>
      </c>
      <c r="B5" s="11">
        <f>COUNTIFS('Product Backlog'!$H$6:$H$129,A5,'Product Backlog'!$B$6:$B$129,"Historia*")</f>
        <v/>
      </c>
      <c r="C5" s="11">
        <f>SUMIFS('Product Backlog'!$G$6:$G$129,'Product Backlog'!$H$6:$H$129,A5,'Product Backlog'!$B$6:$B$129,"Historia*")</f>
        <v/>
      </c>
      <c r="D5" s="11">
        <f>SUMIFS('Product Backlog'!$G$6:$G$129,'Product Backlog'!$H$6:$H$129,A5,'Product Backlog'!$B$6:$B$129,"Historia*",'Product Backlog'!$I$6:$I$129,"Hecho")</f>
        <v/>
      </c>
      <c r="E5" s="11" t="inlineStr">
        <is>
          <t>S5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29">
      <c r="A6" s="11" t="inlineStr">
        <is>
          <t>Iteración 2</t>
        </is>
      </c>
      <c r="B6" s="11">
        <f>COUNTIFS('Product Backlog'!$H$6:$H$129,A6,'Product Backlog'!$B$6:$B$129,"Historia*")</f>
        <v/>
      </c>
      <c r="C6" s="11">
        <f>SUMIFS('Product Backlog'!$G$6:$G$129,'Product Backlog'!$H$6:$H$129,A6,'Product Backlog'!$B$6:$B$129,"Historia*")</f>
        <v/>
      </c>
      <c r="D6" s="11">
        <f>SUMIFS('Product Backlog'!$G$6:$G$129,'Product Backlog'!$H$6:$H$129,A6,'Product Backlog'!$B$6:$B$129,"Historia*",'Product Backlog'!$I$6:$I$129,"Hecho")</f>
        <v/>
      </c>
      <c r="E6" s="11" t="inlineStr">
        <is>
          <t>S6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" customHeight="1" s="29">
      <c r="A7" s="11" t="inlineStr">
        <is>
          <t>Iteración 3</t>
        </is>
      </c>
      <c r="B7" s="11">
        <f>COUNTIFS('Product Backlog'!$H$6:$H$129,A7,'Product Backlog'!$B$6:$B$129,"Historia*")</f>
        <v/>
      </c>
      <c r="C7" s="11">
        <f>SUMIFS('Product Backlog'!$G$6:$G$129,'Product Backlog'!$H$6:$H$129,A7,'Product Backlog'!$B$6:$B$129,"Historia*")</f>
        <v/>
      </c>
      <c r="D7" s="11">
        <f>SUMIFS('Product Backlog'!$G$6:$G$129,'Product Backlog'!$H$6:$H$129,A7,'Product Backlog'!$B$6:$B$129,"Historia*",'Product Backlog'!$I$6:$I$129,"Hecho")</f>
        <v/>
      </c>
      <c r="E7" s="11" t="inlineStr">
        <is>
          <t>S7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 s="29">
      <c r="A8" s="11" t="inlineStr">
        <is>
          <t>Iteración 4</t>
        </is>
      </c>
      <c r="B8" s="11">
        <f>COUNTIFS('Product Backlog'!$H$6:$H$129,A8,'Product Backlog'!$B$6:$B$129,"Historia*")</f>
        <v/>
      </c>
      <c r="C8" s="11">
        <f>SUMIFS('Product Backlog'!$G$6:$G$129,'Product Backlog'!$H$6:$H$129,A8,'Product Backlog'!$B$6:$B$129,"Historia*")</f>
        <v/>
      </c>
      <c r="D8" s="11">
        <f>SUMIFS('Product Backlog'!$G$6:$G$129,'Product Backlog'!$H$6:$H$129,A8,'Product Backlog'!$B$6:$B$129,"Historia*",'Product Backlog'!$I$6:$I$129,"Hecho")</f>
        <v/>
      </c>
      <c r="E8" s="11" t="inlineStr">
        <is>
          <t>S8</t>
        </is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" customHeight="1" s="29">
      <c r="A9" s="11" t="inlineStr">
        <is>
          <t>Iteración 5</t>
        </is>
      </c>
      <c r="B9" s="11">
        <f>COUNTIFS('Product Backlog'!$H$6:$H$129,A9,'Product Backlog'!$B$6:$B$129,"Historia*")</f>
        <v/>
      </c>
      <c r="C9" s="11">
        <f>SUMIFS('Product Backlog'!$G$6:$G$129,'Product Backlog'!$H$6:$H$129,A9,'Product Backlog'!$B$6:$B$129,"Historia*")</f>
        <v/>
      </c>
      <c r="D9" s="11">
        <f>SUMIFS('Product Backlog'!$G$6:$G$129,'Product Backlog'!$H$6:$H$129,A9,'Product Backlog'!$B$6:$B$129,"Historia*",'Product Backlog'!$I$6:$I$129,"Hecho")</f>
        <v/>
      </c>
      <c r="E9" s="11" t="inlineStr">
        <is>
          <t>S9</t>
        </is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29">
      <c r="A10" s="11" t="inlineStr">
        <is>
          <t>Iteración 6</t>
        </is>
      </c>
      <c r="B10" s="11">
        <f>COUNTIFS('Product Backlog'!$H$6:$H$129,A10,'Product Backlog'!$B$6:$B$129,"Historia*")</f>
        <v/>
      </c>
      <c r="C10" s="11">
        <f>SUMIFS('Product Backlog'!$G$6:$G$129,'Product Backlog'!$H$6:$H$129,A10,'Product Backlog'!$B$6:$B$129,"Historia*")</f>
        <v/>
      </c>
      <c r="D10" s="11">
        <f>SUMIFS('Product Backlog'!$G$6:$G$129,'Product Backlog'!$H$6:$H$129,A10,'Product Backlog'!$B$6:$B$129,"Historia*",'Product Backlog'!$I$6:$I$129,"Hecho")</f>
        <v/>
      </c>
      <c r="E10" s="11" t="inlineStr">
        <is>
          <t>S10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29">
      <c r="A11" s="11" t="inlineStr">
        <is>
          <t>Iteración 7</t>
        </is>
      </c>
      <c r="B11" s="11">
        <f>COUNTIFS('Product Backlog'!$H$6:$H$129,A11,'Product Backlog'!$B$6:$B$129,"Historia*")</f>
        <v/>
      </c>
      <c r="C11" s="11">
        <f>SUMIFS('Product Backlog'!$G$6:$G$129,'Product Backlog'!$H$6:$H$129,A11,'Product Backlog'!$B$6:$B$129,"Historia*")</f>
        <v/>
      </c>
      <c r="D11" s="11">
        <f>SUMIFS('Product Backlog'!$G$6:$G$129,'Product Backlog'!$H$6:$H$129,A11,'Product Backlog'!$B$6:$B$129,"Historia*",'Product Backlog'!$I$6:$I$129,"Hecho")</f>
        <v/>
      </c>
      <c r="E11" s="11" t="inlineStr">
        <is>
          <t>S11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" customHeight="1" s="29">
      <c r="A12" s="11" t="inlineStr">
        <is>
          <t>Iteración 8</t>
        </is>
      </c>
      <c r="B12" s="11">
        <f>COUNTIFS('Product Backlog'!$H$6:$H$129,A12,'Product Backlog'!$B$6:$B$129,"Historia*")</f>
        <v/>
      </c>
      <c r="C12" s="11">
        <f>SUMIFS('Product Backlog'!$G$6:$G$129,'Product Backlog'!$H$6:$H$129,A12,'Product Backlog'!$B$6:$B$129,"Historia*")</f>
        <v/>
      </c>
      <c r="D12" s="11">
        <f>SUMIFS('Product Backlog'!$G$6:$G$129,'Product Backlog'!$H$6:$H$129,A12,'Product Backlog'!$B$6:$B$129,"Historia*",'Product Backlog'!$I$6:$I$129,"Hecho")</f>
        <v/>
      </c>
      <c r="E12" s="11" t="inlineStr">
        <is>
          <t>S12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" customHeight="1" s="29">
      <c r="A13" s="11" t="inlineStr">
        <is>
          <t>Iteración 9</t>
        </is>
      </c>
      <c r="B13" s="11">
        <f>COUNTIFS('Product Backlog'!$H$6:$H$129,A13,'Product Backlog'!$B$6:$B$129,"Historia*")</f>
        <v/>
      </c>
      <c r="C13" s="11">
        <f>SUMIFS('Product Backlog'!$G$6:$G$129,'Product Backlog'!$H$6:$H$129,A13,'Product Backlog'!$B$6:$B$129,"Historia*")</f>
        <v/>
      </c>
      <c r="D13" s="11">
        <f>SUMIFS('Product Backlog'!$G$6:$G$129,'Product Backlog'!$H$6:$H$129,A13,'Product Backlog'!$B$6:$B$129,"Historia*",'Product Backlog'!$I$6:$I$129,"Hecho")</f>
        <v/>
      </c>
      <c r="E13" s="11" t="inlineStr">
        <is>
          <t>S13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" customHeight="1" s="29">
      <c r="A14" s="11" t="inlineStr">
        <is>
          <t>Iteración 10</t>
        </is>
      </c>
      <c r="B14" s="11">
        <f>COUNTIFS('Product Backlog'!$H$6:$H$129,A14,'Product Backlog'!$B$6:$B$129,"Historia*")</f>
        <v/>
      </c>
      <c r="C14" s="11">
        <f>SUMIFS('Product Backlog'!$G$6:$G$129,'Product Backlog'!$H$6:$H$129,A14,'Product Backlog'!$B$6:$B$129,"Historia*")</f>
        <v/>
      </c>
      <c r="D14" s="11">
        <f>SUMIFS('Product Backlog'!$G$6:$G$129,'Product Backlog'!$H$6:$H$129,A14,'Product Backlog'!$B$6:$B$129,"Historia*",'Product Backlog'!$I$6:$I$129,"Hecho")</f>
        <v/>
      </c>
      <c r="E14" s="11" t="inlineStr">
        <is>
          <t>S14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" customHeight="1" s="29">
      <c r="A15" s="26" t="inlineStr">
        <is>
          <t>Total</t>
        </is>
      </c>
      <c r="B15" s="26">
        <f>SUM(B5:B14)</f>
        <v/>
      </c>
      <c r="C15" s="26">
        <f>SUM(C5:C14)</f>
        <v/>
      </c>
      <c r="D15" s="26">
        <f>SUM(D5:D14)</f>
        <v/>
      </c>
      <c r="E15" s="27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2" t="n"/>
      <c r="B16" s="2" t="n"/>
      <c r="C16" s="2" t="n"/>
      <c r="D16" s="2" t="n"/>
      <c r="E16" s="2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" customHeight="1" s="29">
      <c r="A17" s="28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" customHeight="1" s="29"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" customHeight="1" s="29"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2" t="n"/>
      <c r="B20" s="2" t="n"/>
      <c r="C20" s="2" t="n"/>
      <c r="D20" s="2" t="n"/>
      <c r="E20" s="2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9">
      <c r="A21" s="2" t="n"/>
      <c r="B21" s="2" t="n"/>
      <c r="C21" s="2" t="n"/>
      <c r="D21" s="2" t="n"/>
      <c r="E21" s="2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9">
      <c r="A22" s="2" t="n"/>
      <c r="B22" s="2" t="n"/>
      <c r="C22" s="2" t="n"/>
      <c r="D22" s="2" t="n"/>
      <c r="E22" s="2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9">
      <c r="A23" s="2" t="n"/>
      <c r="B23" s="2" t="n"/>
      <c r="C23" s="2" t="n"/>
      <c r="D23" s="2" t="n"/>
      <c r="E23" s="2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9">
      <c r="A24" s="2" t="n"/>
      <c r="B24" s="2" t="n"/>
      <c r="C24" s="2" t="n"/>
      <c r="D24" s="2" t="n"/>
      <c r="E24" s="2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9">
      <c r="A25" s="2" t="n"/>
      <c r="B25" s="2" t="n"/>
      <c r="C25" s="2" t="n"/>
      <c r="D25" s="2" t="n"/>
      <c r="E25" s="2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9">
      <c r="A26" s="2" t="n"/>
      <c r="B26" s="2" t="n"/>
      <c r="C26" s="2" t="n"/>
      <c r="D26" s="2" t="n"/>
      <c r="E26" s="2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9">
      <c r="A27" s="2" t="n"/>
      <c r="B27" s="2" t="n"/>
      <c r="C27" s="2" t="n"/>
      <c r="D27" s="2" t="n"/>
      <c r="E27" s="2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9">
      <c r="A28" s="2" t="n"/>
      <c r="B28" s="2" t="n"/>
      <c r="C28" s="2" t="n"/>
      <c r="D28" s="2" t="n"/>
      <c r="E28" s="2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9">
      <c r="A29" s="2" t="n"/>
      <c r="B29" s="2" t="n"/>
      <c r="C29" s="2" t="n"/>
      <c r="D29" s="2" t="n"/>
      <c r="E29" s="2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9">
      <c r="A30" s="2" t="n"/>
      <c r="B30" s="2" t="n"/>
      <c r="C30" s="2" t="n"/>
      <c r="D30" s="2" t="n"/>
      <c r="E30" s="2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9">
      <c r="A31" s="2" t="n"/>
      <c r="B31" s="2" t="n"/>
      <c r="C31" s="2" t="n"/>
      <c r="D31" s="2" t="n"/>
      <c r="E31" s="2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9">
      <c r="A32" s="2" t="n"/>
      <c r="B32" s="2" t="n"/>
      <c r="C32" s="2" t="n"/>
      <c r="D32" s="2" t="n"/>
      <c r="E32" s="2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9">
      <c r="A33" s="2" t="n"/>
      <c r="B33" s="2" t="n"/>
      <c r="C33" s="2" t="n"/>
      <c r="D33" s="2" t="n"/>
      <c r="E33" s="2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9">
      <c r="A34" s="2" t="n"/>
      <c r="B34" s="2" t="n"/>
      <c r="C34" s="2" t="n"/>
      <c r="D34" s="2" t="n"/>
      <c r="E34" s="2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9">
      <c r="A35" s="2" t="n"/>
      <c r="B35" s="2" t="n"/>
      <c r="C35" s="2" t="n"/>
      <c r="D35" s="2" t="n"/>
      <c r="E35" s="2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9">
      <c r="A36" s="2" t="n"/>
      <c r="B36" s="2" t="n"/>
      <c r="C36" s="2" t="n"/>
      <c r="D36" s="2" t="n"/>
      <c r="E36" s="2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9">
      <c r="A37" s="2" t="n"/>
      <c r="B37" s="2" t="n"/>
      <c r="C37" s="2" t="n"/>
      <c r="D37" s="2" t="n"/>
      <c r="E37" s="2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9">
      <c r="A38" s="2" t="n"/>
      <c r="B38" s="2" t="n"/>
      <c r="C38" s="2" t="n"/>
      <c r="D38" s="2" t="n"/>
      <c r="E38" s="2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9">
      <c r="A39" s="2" t="n"/>
      <c r="B39" s="2" t="n"/>
      <c r="C39" s="2" t="n"/>
      <c r="D39" s="2" t="n"/>
      <c r="E39" s="2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9">
      <c r="A40" s="2" t="n"/>
      <c r="B40" s="2" t="n"/>
      <c r="C40" s="2" t="n"/>
      <c r="D40" s="2" t="n"/>
      <c r="E40" s="2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9">
      <c r="A41" s="2" t="n"/>
      <c r="B41" s="2" t="n"/>
      <c r="C41" s="2" t="n"/>
      <c r="D41" s="2" t="n"/>
      <c r="E41" s="2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9">
      <c r="A42" s="2" t="n"/>
      <c r="B42" s="2" t="n"/>
      <c r="C42" s="2" t="n"/>
      <c r="D42" s="2" t="n"/>
      <c r="E42" s="2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9">
      <c r="A43" s="2" t="n"/>
      <c r="B43" s="2" t="n"/>
      <c r="C43" s="2" t="n"/>
      <c r="D43" s="2" t="n"/>
      <c r="E43" s="2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9">
      <c r="A44" s="2" t="n"/>
      <c r="B44" s="2" t="n"/>
      <c r="C44" s="2" t="n"/>
      <c r="D44" s="2" t="n"/>
      <c r="E44" s="2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9">
      <c r="A45" s="2" t="n"/>
      <c r="B45" s="2" t="n"/>
      <c r="C45" s="2" t="n"/>
      <c r="D45" s="2" t="n"/>
      <c r="E45" s="2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9">
      <c r="A46" s="2" t="n"/>
      <c r="B46" s="2" t="n"/>
      <c r="C46" s="2" t="n"/>
      <c r="D46" s="2" t="n"/>
      <c r="E46" s="2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9">
      <c r="A47" s="2" t="n"/>
      <c r="B47" s="2" t="n"/>
      <c r="C47" s="2" t="n"/>
      <c r="D47" s="2" t="n"/>
      <c r="E47" s="2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9">
      <c r="A48" s="2" t="n"/>
      <c r="B48" s="2" t="n"/>
      <c r="C48" s="2" t="n"/>
      <c r="D48" s="2" t="n"/>
      <c r="E48" s="2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9">
      <c r="A49" s="2" t="n"/>
      <c r="B49" s="2" t="n"/>
      <c r="C49" s="2" t="n"/>
      <c r="D49" s="2" t="n"/>
      <c r="E49" s="2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9">
      <c r="A50" s="2" t="n"/>
      <c r="B50" s="2" t="n"/>
      <c r="C50" s="2" t="n"/>
      <c r="D50" s="2" t="n"/>
      <c r="E50" s="2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9">
      <c r="A51" s="2" t="n"/>
      <c r="B51" s="2" t="n"/>
      <c r="C51" s="2" t="n"/>
      <c r="D51" s="2" t="n"/>
      <c r="E51" s="2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9">
      <c r="A52" s="2" t="n"/>
      <c r="B52" s="2" t="n"/>
      <c r="C52" s="2" t="n"/>
      <c r="D52" s="2" t="n"/>
      <c r="E52" s="2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9">
      <c r="A53" s="2" t="n"/>
      <c r="B53" s="2" t="n"/>
      <c r="C53" s="2" t="n"/>
      <c r="D53" s="2" t="n"/>
      <c r="E53" s="2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9">
      <c r="A54" s="2" t="n"/>
      <c r="B54" s="2" t="n"/>
      <c r="C54" s="2" t="n"/>
      <c r="D54" s="2" t="n"/>
      <c r="E54" s="2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9">
      <c r="A55" s="2" t="n"/>
      <c r="B55" s="2" t="n"/>
      <c r="C55" s="2" t="n"/>
      <c r="D55" s="2" t="n"/>
      <c r="E55" s="2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9">
      <c r="A56" s="2" t="n"/>
      <c r="B56" s="2" t="n"/>
      <c r="C56" s="2" t="n"/>
      <c r="D56" s="2" t="n"/>
      <c r="E56" s="2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9">
      <c r="A57" s="2" t="n"/>
      <c r="B57" s="2" t="n"/>
      <c r="C57" s="2" t="n"/>
      <c r="D57" s="2" t="n"/>
      <c r="E57" s="2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9">
      <c r="A58" s="2" t="n"/>
      <c r="B58" s="2" t="n"/>
      <c r="C58" s="2" t="n"/>
      <c r="D58" s="2" t="n"/>
      <c r="E58" s="2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9">
      <c r="A59" s="2" t="n"/>
      <c r="B59" s="2" t="n"/>
      <c r="C59" s="2" t="n"/>
      <c r="D59" s="2" t="n"/>
      <c r="E59" s="2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9">
      <c r="A60" s="2" t="n"/>
      <c r="B60" s="2" t="n"/>
      <c r="C60" s="2" t="n"/>
      <c r="D60" s="2" t="n"/>
      <c r="E60" s="2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9">
      <c r="A61" s="2" t="n"/>
      <c r="B61" s="2" t="n"/>
      <c r="C61" s="2" t="n"/>
      <c r="D61" s="2" t="n"/>
      <c r="E61" s="2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9">
      <c r="A62" s="2" t="n"/>
      <c r="B62" s="2" t="n"/>
      <c r="C62" s="2" t="n"/>
      <c r="D62" s="2" t="n"/>
      <c r="E62" s="2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9">
      <c r="A63" s="2" t="n"/>
      <c r="B63" s="2" t="n"/>
      <c r="C63" s="2" t="n"/>
      <c r="D63" s="2" t="n"/>
      <c r="E63" s="2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9">
      <c r="A64" s="2" t="n"/>
      <c r="B64" s="2" t="n"/>
      <c r="C64" s="2" t="n"/>
      <c r="D64" s="2" t="n"/>
      <c r="E64" s="2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9">
      <c r="A65" s="2" t="n"/>
      <c r="B65" s="2" t="n"/>
      <c r="C65" s="2" t="n"/>
      <c r="D65" s="2" t="n"/>
      <c r="E65" s="2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9">
      <c r="A66" s="2" t="n"/>
      <c r="B66" s="2" t="n"/>
      <c r="C66" s="2" t="n"/>
      <c r="D66" s="2" t="n"/>
      <c r="E66" s="2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9">
      <c r="A67" s="2" t="n"/>
      <c r="B67" s="2" t="n"/>
      <c r="C67" s="2" t="n"/>
      <c r="D67" s="2" t="n"/>
      <c r="E67" s="2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9">
      <c r="A68" s="2" t="n"/>
      <c r="B68" s="2" t="n"/>
      <c r="C68" s="2" t="n"/>
      <c r="D68" s="2" t="n"/>
      <c r="E68" s="2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9">
      <c r="A69" s="2" t="n"/>
      <c r="B69" s="2" t="n"/>
      <c r="C69" s="2" t="n"/>
      <c r="D69" s="2" t="n"/>
      <c r="E69" s="2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9">
      <c r="A70" s="2" t="n"/>
      <c r="B70" s="2" t="n"/>
      <c r="C70" s="2" t="n"/>
      <c r="D70" s="2" t="n"/>
      <c r="E70" s="2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9">
      <c r="A71" s="2" t="n"/>
      <c r="B71" s="2" t="n"/>
      <c r="C71" s="2" t="n"/>
      <c r="D71" s="2" t="n"/>
      <c r="E71" s="2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9">
      <c r="A72" s="2" t="n"/>
      <c r="B72" s="2" t="n"/>
      <c r="C72" s="2" t="n"/>
      <c r="D72" s="2" t="n"/>
      <c r="E72" s="2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9">
      <c r="A73" s="2" t="n"/>
      <c r="B73" s="2" t="n"/>
      <c r="C73" s="2" t="n"/>
      <c r="D73" s="2" t="n"/>
      <c r="E73" s="2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9">
      <c r="A74" s="2" t="n"/>
      <c r="B74" s="2" t="n"/>
      <c r="C74" s="2" t="n"/>
      <c r="D74" s="2" t="n"/>
      <c r="E74" s="2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9">
      <c r="A75" s="2" t="n"/>
      <c r="B75" s="2" t="n"/>
      <c r="C75" s="2" t="n"/>
      <c r="D75" s="2" t="n"/>
      <c r="E75" s="2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9">
      <c r="A76" s="2" t="n"/>
      <c r="B76" s="2" t="n"/>
      <c r="C76" s="2" t="n"/>
      <c r="D76" s="2" t="n"/>
      <c r="E76" s="2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9">
      <c r="A77" s="2" t="n"/>
      <c r="B77" s="2" t="n"/>
      <c r="C77" s="2" t="n"/>
      <c r="D77" s="2" t="n"/>
      <c r="E77" s="2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9">
      <c r="A78" s="2" t="n"/>
      <c r="B78" s="2" t="n"/>
      <c r="C78" s="2" t="n"/>
      <c r="D78" s="2" t="n"/>
      <c r="E78" s="2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9">
      <c r="A79" s="2" t="n"/>
      <c r="B79" s="2" t="n"/>
      <c r="C79" s="2" t="n"/>
      <c r="D79" s="2" t="n"/>
      <c r="E79" s="2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9">
      <c r="A80" s="2" t="n"/>
      <c r="B80" s="2" t="n"/>
      <c r="C80" s="2" t="n"/>
      <c r="D80" s="2" t="n"/>
      <c r="E80" s="2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9">
      <c r="A81" s="2" t="n"/>
      <c r="B81" s="2" t="n"/>
      <c r="C81" s="2" t="n"/>
      <c r="D81" s="2" t="n"/>
      <c r="E81" s="2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9">
      <c r="A82" s="2" t="n"/>
      <c r="B82" s="2" t="n"/>
      <c r="C82" s="2" t="n"/>
      <c r="D82" s="2" t="n"/>
      <c r="E82" s="2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9">
      <c r="A83" s="2" t="n"/>
      <c r="B83" s="2" t="n"/>
      <c r="C83" s="2" t="n"/>
      <c r="D83" s="2" t="n"/>
      <c r="E83" s="2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9">
      <c r="A84" s="2" t="n"/>
      <c r="B84" s="2" t="n"/>
      <c r="C84" s="2" t="n"/>
      <c r="D84" s="2" t="n"/>
      <c r="E84" s="2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9">
      <c r="A85" s="2" t="n"/>
      <c r="B85" s="2" t="n"/>
      <c r="C85" s="2" t="n"/>
      <c r="D85" s="2" t="n"/>
      <c r="E85" s="2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9">
      <c r="A86" s="2" t="n"/>
      <c r="B86" s="2" t="n"/>
      <c r="C86" s="2" t="n"/>
      <c r="D86" s="2" t="n"/>
      <c r="E86" s="2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9">
      <c r="A87" s="2" t="n"/>
      <c r="B87" s="2" t="n"/>
      <c r="C87" s="2" t="n"/>
      <c r="D87" s="2" t="n"/>
      <c r="E87" s="2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9">
      <c r="A88" s="2" t="n"/>
      <c r="B88" s="2" t="n"/>
      <c r="C88" s="2" t="n"/>
      <c r="D88" s="2" t="n"/>
      <c r="E88" s="2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9">
      <c r="A89" s="2" t="n"/>
      <c r="B89" s="2" t="n"/>
      <c r="C89" s="2" t="n"/>
      <c r="D89" s="2" t="n"/>
      <c r="E89" s="2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9">
      <c r="A90" s="2" t="n"/>
      <c r="B90" s="2" t="n"/>
      <c r="C90" s="2" t="n"/>
      <c r="D90" s="2" t="n"/>
      <c r="E90" s="2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9">
      <c r="A91" s="2" t="n"/>
      <c r="B91" s="2" t="n"/>
      <c r="C91" s="2" t="n"/>
      <c r="D91" s="2" t="n"/>
      <c r="E91" s="2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9">
      <c r="A92" s="2" t="n"/>
      <c r="B92" s="2" t="n"/>
      <c r="C92" s="2" t="n"/>
      <c r="D92" s="2" t="n"/>
      <c r="E92" s="2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9">
      <c r="A93" s="2" t="n"/>
      <c r="B93" s="2" t="n"/>
      <c r="C93" s="2" t="n"/>
      <c r="D93" s="2" t="n"/>
      <c r="E93" s="2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9">
      <c r="A94" s="2" t="n"/>
      <c r="B94" s="2" t="n"/>
      <c r="C94" s="2" t="n"/>
      <c r="D94" s="2" t="n"/>
      <c r="E94" s="2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9">
      <c r="A95" s="2" t="n"/>
      <c r="B95" s="2" t="n"/>
      <c r="C95" s="2" t="n"/>
      <c r="D95" s="2" t="n"/>
      <c r="E95" s="2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9">
      <c r="A96" s="2" t="n"/>
      <c r="B96" s="2" t="n"/>
      <c r="C96" s="2" t="n"/>
      <c r="D96" s="2" t="n"/>
      <c r="E96" s="2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9">
      <c r="A97" s="2" t="n"/>
      <c r="B97" s="2" t="n"/>
      <c r="C97" s="2" t="n"/>
      <c r="D97" s="2" t="n"/>
      <c r="E97" s="2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9">
      <c r="A98" s="2" t="n"/>
      <c r="B98" s="2" t="n"/>
      <c r="C98" s="2" t="n"/>
      <c r="D98" s="2" t="n"/>
      <c r="E98" s="2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9">
      <c r="A99" s="2" t="n"/>
      <c r="B99" s="2" t="n"/>
      <c r="C99" s="2" t="n"/>
      <c r="D99" s="2" t="n"/>
      <c r="E99" s="2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9">
      <c r="A100" s="2" t="n"/>
      <c r="B100" s="2" t="n"/>
      <c r="C100" s="2" t="n"/>
      <c r="D100" s="2" t="n"/>
      <c r="E100" s="2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9">
      <c r="A101" s="2" t="n"/>
      <c r="B101" s="2" t="n"/>
      <c r="C101" s="2" t="n"/>
      <c r="D101" s="2" t="n"/>
      <c r="E101" s="2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9">
      <c r="A102" s="2" t="n"/>
      <c r="B102" s="2" t="n"/>
      <c r="C102" s="2" t="n"/>
      <c r="D102" s="2" t="n"/>
      <c r="E102" s="2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9">
      <c r="A103" s="2" t="n"/>
      <c r="B103" s="2" t="n"/>
      <c r="C103" s="2" t="n"/>
      <c r="D103" s="2" t="n"/>
      <c r="E103" s="2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9">
      <c r="A104" s="2" t="n"/>
      <c r="B104" s="2" t="n"/>
      <c r="C104" s="2" t="n"/>
      <c r="D104" s="2" t="n"/>
      <c r="E104" s="2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9">
      <c r="A105" s="2" t="n"/>
      <c r="B105" s="2" t="n"/>
      <c r="C105" s="2" t="n"/>
      <c r="D105" s="2" t="n"/>
      <c r="E105" s="2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9">
      <c r="A106" s="2" t="n"/>
      <c r="B106" s="2" t="n"/>
      <c r="C106" s="2" t="n"/>
      <c r="D106" s="2" t="n"/>
      <c r="E106" s="2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9">
      <c r="A107" s="2" t="n"/>
      <c r="B107" s="2" t="n"/>
      <c r="C107" s="2" t="n"/>
      <c r="D107" s="2" t="n"/>
      <c r="E107" s="2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9">
      <c r="A108" s="2" t="n"/>
      <c r="B108" s="2" t="n"/>
      <c r="C108" s="2" t="n"/>
      <c r="D108" s="2" t="n"/>
      <c r="E108" s="2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9">
      <c r="A109" s="2" t="n"/>
      <c r="B109" s="2" t="n"/>
      <c r="C109" s="2" t="n"/>
      <c r="D109" s="2" t="n"/>
      <c r="E109" s="2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9">
      <c r="A110" s="2" t="n"/>
      <c r="B110" s="2" t="n"/>
      <c r="C110" s="2" t="n"/>
      <c r="D110" s="2" t="n"/>
      <c r="E110" s="2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9">
      <c r="A111" s="2" t="n"/>
      <c r="B111" s="2" t="n"/>
      <c r="C111" s="2" t="n"/>
      <c r="D111" s="2" t="n"/>
      <c r="E111" s="2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9">
      <c r="A112" s="2" t="n"/>
      <c r="B112" s="2" t="n"/>
      <c r="C112" s="2" t="n"/>
      <c r="D112" s="2" t="n"/>
      <c r="E112" s="2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9">
      <c r="A113" s="2" t="n"/>
      <c r="B113" s="2" t="n"/>
      <c r="C113" s="2" t="n"/>
      <c r="D113" s="2" t="n"/>
      <c r="E113" s="2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9">
      <c r="A114" s="2" t="n"/>
      <c r="B114" s="2" t="n"/>
      <c r="C114" s="2" t="n"/>
      <c r="D114" s="2" t="n"/>
      <c r="E114" s="2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9">
      <c r="A115" s="2" t="n"/>
      <c r="B115" s="2" t="n"/>
      <c r="C115" s="2" t="n"/>
      <c r="D115" s="2" t="n"/>
      <c r="E115" s="2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9">
      <c r="A116" s="2" t="n"/>
      <c r="B116" s="2" t="n"/>
      <c r="C116" s="2" t="n"/>
      <c r="D116" s="2" t="n"/>
      <c r="E116" s="2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9">
      <c r="A117" s="2" t="n"/>
      <c r="B117" s="2" t="n"/>
      <c r="C117" s="2" t="n"/>
      <c r="D117" s="2" t="n"/>
      <c r="E117" s="2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9">
      <c r="A118" s="2" t="n"/>
      <c r="B118" s="2" t="n"/>
      <c r="C118" s="2" t="n"/>
      <c r="D118" s="2" t="n"/>
      <c r="E118" s="2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9">
      <c r="A119" s="2" t="n"/>
      <c r="B119" s="2" t="n"/>
      <c r="C119" s="2" t="n"/>
      <c r="D119" s="2" t="n"/>
      <c r="E119" s="2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9">
      <c r="A120" s="2" t="n"/>
      <c r="B120" s="2" t="n"/>
      <c r="C120" s="2" t="n"/>
      <c r="D120" s="2" t="n"/>
      <c r="E120" s="2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9">
      <c r="A121" s="2" t="n"/>
      <c r="B121" s="2" t="n"/>
      <c r="C121" s="2" t="n"/>
      <c r="D121" s="2" t="n"/>
      <c r="E121" s="2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9">
      <c r="A122" s="2" t="n"/>
      <c r="B122" s="2" t="n"/>
      <c r="C122" s="2" t="n"/>
      <c r="D122" s="2" t="n"/>
      <c r="E122" s="2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9">
      <c r="A123" s="2" t="n"/>
      <c r="B123" s="2" t="n"/>
      <c r="C123" s="2" t="n"/>
      <c r="D123" s="2" t="n"/>
      <c r="E123" s="2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9">
      <c r="A124" s="2" t="n"/>
      <c r="B124" s="2" t="n"/>
      <c r="C124" s="2" t="n"/>
      <c r="D124" s="2" t="n"/>
      <c r="E124" s="2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9">
      <c r="A125" s="2" t="n"/>
      <c r="B125" s="2" t="n"/>
      <c r="C125" s="2" t="n"/>
      <c r="D125" s="2" t="n"/>
      <c r="E125" s="2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9">
      <c r="A126" s="2" t="n"/>
      <c r="B126" s="2" t="n"/>
      <c r="C126" s="2" t="n"/>
      <c r="D126" s="2" t="n"/>
      <c r="E126" s="2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9">
      <c r="A127" s="2" t="n"/>
      <c r="B127" s="2" t="n"/>
      <c r="C127" s="2" t="n"/>
      <c r="D127" s="2" t="n"/>
      <c r="E127" s="2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9">
      <c r="A128" s="2" t="n"/>
      <c r="B128" s="2" t="n"/>
      <c r="C128" s="2" t="n"/>
      <c r="D128" s="2" t="n"/>
      <c r="E128" s="2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9">
      <c r="A129" s="2" t="n"/>
      <c r="B129" s="2" t="n"/>
      <c r="C129" s="2" t="n"/>
      <c r="D129" s="2" t="n"/>
      <c r="E129" s="2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9">
      <c r="A130" s="2" t="n"/>
      <c r="B130" s="2" t="n"/>
      <c r="C130" s="2" t="n"/>
      <c r="D130" s="2" t="n"/>
      <c r="E130" s="2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9">
      <c r="A131" s="2" t="n"/>
      <c r="B131" s="2" t="n"/>
      <c r="C131" s="2" t="n"/>
      <c r="D131" s="2" t="n"/>
      <c r="E131" s="2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9">
      <c r="A132" s="2" t="n"/>
      <c r="B132" s="2" t="n"/>
      <c r="C132" s="2" t="n"/>
      <c r="D132" s="2" t="n"/>
      <c r="E132" s="2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9">
      <c r="A133" s="2" t="n"/>
      <c r="B133" s="2" t="n"/>
      <c r="C133" s="2" t="n"/>
      <c r="D133" s="2" t="n"/>
      <c r="E133" s="2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9">
      <c r="A134" s="2" t="n"/>
      <c r="B134" s="2" t="n"/>
      <c r="C134" s="2" t="n"/>
      <c r="D134" s="2" t="n"/>
      <c r="E134" s="2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9">
      <c r="A135" s="2" t="n"/>
      <c r="B135" s="2" t="n"/>
      <c r="C135" s="2" t="n"/>
      <c r="D135" s="2" t="n"/>
      <c r="E135" s="2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9">
      <c r="A136" s="2" t="n"/>
      <c r="B136" s="2" t="n"/>
      <c r="C136" s="2" t="n"/>
      <c r="D136" s="2" t="n"/>
      <c r="E136" s="2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9">
      <c r="A137" s="2" t="n"/>
      <c r="B137" s="2" t="n"/>
      <c r="C137" s="2" t="n"/>
      <c r="D137" s="2" t="n"/>
      <c r="E137" s="2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9">
      <c r="A138" s="2" t="n"/>
      <c r="B138" s="2" t="n"/>
      <c r="C138" s="2" t="n"/>
      <c r="D138" s="2" t="n"/>
      <c r="E138" s="2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9">
      <c r="A139" s="2" t="n"/>
      <c r="B139" s="2" t="n"/>
      <c r="C139" s="2" t="n"/>
      <c r="D139" s="2" t="n"/>
      <c r="E139" s="2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9">
      <c r="A140" s="2" t="n"/>
      <c r="B140" s="2" t="n"/>
      <c r="C140" s="2" t="n"/>
      <c r="D140" s="2" t="n"/>
      <c r="E140" s="2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9">
      <c r="A141" s="2" t="n"/>
      <c r="B141" s="2" t="n"/>
      <c r="C141" s="2" t="n"/>
      <c r="D141" s="2" t="n"/>
      <c r="E141" s="2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9">
      <c r="A142" s="2" t="n"/>
      <c r="B142" s="2" t="n"/>
      <c r="C142" s="2" t="n"/>
      <c r="D142" s="2" t="n"/>
      <c r="E142" s="2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9">
      <c r="A143" s="2" t="n"/>
      <c r="B143" s="2" t="n"/>
      <c r="C143" s="2" t="n"/>
      <c r="D143" s="2" t="n"/>
      <c r="E143" s="2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9">
      <c r="A144" s="2" t="n"/>
      <c r="B144" s="2" t="n"/>
      <c r="C144" s="2" t="n"/>
      <c r="D144" s="2" t="n"/>
      <c r="E144" s="2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9">
      <c r="A145" s="2" t="n"/>
      <c r="B145" s="2" t="n"/>
      <c r="C145" s="2" t="n"/>
      <c r="D145" s="2" t="n"/>
      <c r="E145" s="2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9">
      <c r="A146" s="2" t="n"/>
      <c r="B146" s="2" t="n"/>
      <c r="C146" s="2" t="n"/>
      <c r="D146" s="2" t="n"/>
      <c r="E146" s="2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9">
      <c r="A147" s="2" t="n"/>
      <c r="B147" s="2" t="n"/>
      <c r="C147" s="2" t="n"/>
      <c r="D147" s="2" t="n"/>
      <c r="E147" s="2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9">
      <c r="A148" s="2" t="n"/>
      <c r="B148" s="2" t="n"/>
      <c r="C148" s="2" t="n"/>
      <c r="D148" s="2" t="n"/>
      <c r="E148" s="2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9">
      <c r="A149" s="2" t="n"/>
      <c r="B149" s="2" t="n"/>
      <c r="C149" s="2" t="n"/>
      <c r="D149" s="2" t="n"/>
      <c r="E149" s="2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9">
      <c r="A150" s="2" t="n"/>
      <c r="B150" s="2" t="n"/>
      <c r="C150" s="2" t="n"/>
      <c r="D150" s="2" t="n"/>
      <c r="E150" s="2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9">
      <c r="A151" s="2" t="n"/>
      <c r="B151" s="2" t="n"/>
      <c r="C151" s="2" t="n"/>
      <c r="D151" s="2" t="n"/>
      <c r="E151" s="2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9">
      <c r="A152" s="2" t="n"/>
      <c r="B152" s="2" t="n"/>
      <c r="C152" s="2" t="n"/>
      <c r="D152" s="2" t="n"/>
      <c r="E152" s="2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9">
      <c r="A153" s="2" t="n"/>
      <c r="B153" s="2" t="n"/>
      <c r="C153" s="2" t="n"/>
      <c r="D153" s="2" t="n"/>
      <c r="E153" s="2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9">
      <c r="A154" s="2" t="n"/>
      <c r="B154" s="2" t="n"/>
      <c r="C154" s="2" t="n"/>
      <c r="D154" s="2" t="n"/>
      <c r="E154" s="2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9">
      <c r="A155" s="2" t="n"/>
      <c r="B155" s="2" t="n"/>
      <c r="C155" s="2" t="n"/>
      <c r="D155" s="2" t="n"/>
      <c r="E155" s="2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9">
      <c r="A156" s="2" t="n"/>
      <c r="B156" s="2" t="n"/>
      <c r="C156" s="2" t="n"/>
      <c r="D156" s="2" t="n"/>
      <c r="E156" s="2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9">
      <c r="A157" s="2" t="n"/>
      <c r="B157" s="2" t="n"/>
      <c r="C157" s="2" t="n"/>
      <c r="D157" s="2" t="n"/>
      <c r="E157" s="2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9">
      <c r="A158" s="2" t="n"/>
      <c r="B158" s="2" t="n"/>
      <c r="C158" s="2" t="n"/>
      <c r="D158" s="2" t="n"/>
      <c r="E158" s="2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9">
      <c r="A159" s="2" t="n"/>
      <c r="B159" s="2" t="n"/>
      <c r="C159" s="2" t="n"/>
      <c r="D159" s="2" t="n"/>
      <c r="E159" s="2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9">
      <c r="A160" s="2" t="n"/>
      <c r="B160" s="2" t="n"/>
      <c r="C160" s="2" t="n"/>
      <c r="D160" s="2" t="n"/>
      <c r="E160" s="2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9">
      <c r="A161" s="2" t="n"/>
      <c r="B161" s="2" t="n"/>
      <c r="C161" s="2" t="n"/>
      <c r="D161" s="2" t="n"/>
      <c r="E161" s="2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9">
      <c r="A162" s="2" t="n"/>
      <c r="B162" s="2" t="n"/>
      <c r="C162" s="2" t="n"/>
      <c r="D162" s="2" t="n"/>
      <c r="E162" s="2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9">
      <c r="A163" s="2" t="n"/>
      <c r="B163" s="2" t="n"/>
      <c r="C163" s="2" t="n"/>
      <c r="D163" s="2" t="n"/>
      <c r="E163" s="2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9">
      <c r="A164" s="2" t="n"/>
      <c r="B164" s="2" t="n"/>
      <c r="C164" s="2" t="n"/>
      <c r="D164" s="2" t="n"/>
      <c r="E164" s="2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9">
      <c r="A165" s="2" t="n"/>
      <c r="B165" s="2" t="n"/>
      <c r="C165" s="2" t="n"/>
      <c r="D165" s="2" t="n"/>
      <c r="E165" s="2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9">
      <c r="A166" s="2" t="n"/>
      <c r="B166" s="2" t="n"/>
      <c r="C166" s="2" t="n"/>
      <c r="D166" s="2" t="n"/>
      <c r="E166" s="2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9">
      <c r="A167" s="2" t="n"/>
      <c r="B167" s="2" t="n"/>
      <c r="C167" s="2" t="n"/>
      <c r="D167" s="2" t="n"/>
      <c r="E167" s="2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9">
      <c r="A168" s="2" t="n"/>
      <c r="B168" s="2" t="n"/>
      <c r="C168" s="2" t="n"/>
      <c r="D168" s="2" t="n"/>
      <c r="E168" s="2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9">
      <c r="A169" s="2" t="n"/>
      <c r="B169" s="2" t="n"/>
      <c r="C169" s="2" t="n"/>
      <c r="D169" s="2" t="n"/>
      <c r="E169" s="2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9">
      <c r="A170" s="2" t="n"/>
      <c r="B170" s="2" t="n"/>
      <c r="C170" s="2" t="n"/>
      <c r="D170" s="2" t="n"/>
      <c r="E170" s="2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9">
      <c r="A171" s="2" t="n"/>
      <c r="B171" s="2" t="n"/>
      <c r="C171" s="2" t="n"/>
      <c r="D171" s="2" t="n"/>
      <c r="E171" s="2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9">
      <c r="A172" s="2" t="n"/>
      <c r="B172" s="2" t="n"/>
      <c r="C172" s="2" t="n"/>
      <c r="D172" s="2" t="n"/>
      <c r="E172" s="2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9">
      <c r="A173" s="2" t="n"/>
      <c r="B173" s="2" t="n"/>
      <c r="C173" s="2" t="n"/>
      <c r="D173" s="2" t="n"/>
      <c r="E173" s="2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9">
      <c r="A174" s="2" t="n"/>
      <c r="B174" s="2" t="n"/>
      <c r="C174" s="2" t="n"/>
      <c r="D174" s="2" t="n"/>
      <c r="E174" s="2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9">
      <c r="A175" s="2" t="n"/>
      <c r="B175" s="2" t="n"/>
      <c r="C175" s="2" t="n"/>
      <c r="D175" s="2" t="n"/>
      <c r="E175" s="2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9">
      <c r="A176" s="2" t="n"/>
      <c r="B176" s="2" t="n"/>
      <c r="C176" s="2" t="n"/>
      <c r="D176" s="2" t="n"/>
      <c r="E176" s="2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9">
      <c r="A177" s="2" t="n"/>
      <c r="B177" s="2" t="n"/>
      <c r="C177" s="2" t="n"/>
      <c r="D177" s="2" t="n"/>
      <c r="E177" s="2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9">
      <c r="A178" s="2" t="n"/>
      <c r="B178" s="2" t="n"/>
      <c r="C178" s="2" t="n"/>
      <c r="D178" s="2" t="n"/>
      <c r="E178" s="2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9">
      <c r="A179" s="2" t="n"/>
      <c r="B179" s="2" t="n"/>
      <c r="C179" s="2" t="n"/>
      <c r="D179" s="2" t="n"/>
      <c r="E179" s="2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9">
      <c r="A180" s="2" t="n"/>
      <c r="B180" s="2" t="n"/>
      <c r="C180" s="2" t="n"/>
      <c r="D180" s="2" t="n"/>
      <c r="E180" s="2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9">
      <c r="A181" s="2" t="n"/>
      <c r="B181" s="2" t="n"/>
      <c r="C181" s="2" t="n"/>
      <c r="D181" s="2" t="n"/>
      <c r="E181" s="2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9">
      <c r="A182" s="2" t="n"/>
      <c r="B182" s="2" t="n"/>
      <c r="C182" s="2" t="n"/>
      <c r="D182" s="2" t="n"/>
      <c r="E182" s="2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9">
      <c r="A183" s="2" t="n"/>
      <c r="B183" s="2" t="n"/>
      <c r="C183" s="2" t="n"/>
      <c r="D183" s="2" t="n"/>
      <c r="E183" s="2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9">
      <c r="A184" s="2" t="n"/>
      <c r="B184" s="2" t="n"/>
      <c r="C184" s="2" t="n"/>
      <c r="D184" s="2" t="n"/>
      <c r="E184" s="2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9">
      <c r="A185" s="2" t="n"/>
      <c r="B185" s="2" t="n"/>
      <c r="C185" s="2" t="n"/>
      <c r="D185" s="2" t="n"/>
      <c r="E185" s="2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9">
      <c r="A186" s="2" t="n"/>
      <c r="B186" s="2" t="n"/>
      <c r="C186" s="2" t="n"/>
      <c r="D186" s="2" t="n"/>
      <c r="E186" s="2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9">
      <c r="A187" s="2" t="n"/>
      <c r="B187" s="2" t="n"/>
      <c r="C187" s="2" t="n"/>
      <c r="D187" s="2" t="n"/>
      <c r="E187" s="2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9">
      <c r="A188" s="2" t="n"/>
      <c r="B188" s="2" t="n"/>
      <c r="C188" s="2" t="n"/>
      <c r="D188" s="2" t="n"/>
      <c r="E188" s="2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9">
      <c r="A189" s="2" t="n"/>
      <c r="B189" s="2" t="n"/>
      <c r="C189" s="2" t="n"/>
      <c r="D189" s="2" t="n"/>
      <c r="E189" s="2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9">
      <c r="A190" s="2" t="n"/>
      <c r="B190" s="2" t="n"/>
      <c r="C190" s="2" t="n"/>
      <c r="D190" s="2" t="n"/>
      <c r="E190" s="2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9">
      <c r="A191" s="2" t="n"/>
      <c r="B191" s="2" t="n"/>
      <c r="C191" s="2" t="n"/>
      <c r="D191" s="2" t="n"/>
      <c r="E191" s="2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9">
      <c r="A192" s="2" t="n"/>
      <c r="B192" s="2" t="n"/>
      <c r="C192" s="2" t="n"/>
      <c r="D192" s="2" t="n"/>
      <c r="E192" s="2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9">
      <c r="A193" s="2" t="n"/>
      <c r="B193" s="2" t="n"/>
      <c r="C193" s="2" t="n"/>
      <c r="D193" s="2" t="n"/>
      <c r="E193" s="2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9">
      <c r="A194" s="2" t="n"/>
      <c r="B194" s="2" t="n"/>
      <c r="C194" s="2" t="n"/>
      <c r="D194" s="2" t="n"/>
      <c r="E194" s="2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9">
      <c r="A195" s="2" t="n"/>
      <c r="B195" s="2" t="n"/>
      <c r="C195" s="2" t="n"/>
      <c r="D195" s="2" t="n"/>
      <c r="E195" s="2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9">
      <c r="A196" s="2" t="n"/>
      <c r="B196" s="2" t="n"/>
      <c r="C196" s="2" t="n"/>
      <c r="D196" s="2" t="n"/>
      <c r="E196" s="2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9">
      <c r="A197" s="2" t="n"/>
      <c r="B197" s="2" t="n"/>
      <c r="C197" s="2" t="n"/>
      <c r="D197" s="2" t="n"/>
      <c r="E197" s="2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9">
      <c r="A198" s="2" t="n"/>
      <c r="B198" s="2" t="n"/>
      <c r="C198" s="2" t="n"/>
      <c r="D198" s="2" t="n"/>
      <c r="E198" s="2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9">
      <c r="A199" s="2" t="n"/>
      <c r="B199" s="2" t="n"/>
      <c r="C199" s="2" t="n"/>
      <c r="D199" s="2" t="n"/>
      <c r="E199" s="2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9">
      <c r="A200" s="2" t="n"/>
      <c r="B200" s="2" t="n"/>
      <c r="C200" s="2" t="n"/>
      <c r="D200" s="2" t="n"/>
      <c r="E200" s="2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9">
      <c r="A201" s="2" t="n"/>
      <c r="B201" s="2" t="n"/>
      <c r="C201" s="2" t="n"/>
      <c r="D201" s="2" t="n"/>
      <c r="E201" s="2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9">
      <c r="A202" s="2" t="n"/>
      <c r="B202" s="2" t="n"/>
      <c r="C202" s="2" t="n"/>
      <c r="D202" s="2" t="n"/>
      <c r="E202" s="2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9">
      <c r="A203" s="2" t="n"/>
      <c r="B203" s="2" t="n"/>
      <c r="C203" s="2" t="n"/>
      <c r="D203" s="2" t="n"/>
      <c r="E203" s="2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9">
      <c r="A204" s="2" t="n"/>
      <c r="B204" s="2" t="n"/>
      <c r="C204" s="2" t="n"/>
      <c r="D204" s="2" t="n"/>
      <c r="E204" s="2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9">
      <c r="A205" s="2" t="n"/>
      <c r="B205" s="2" t="n"/>
      <c r="C205" s="2" t="n"/>
      <c r="D205" s="2" t="n"/>
      <c r="E205" s="2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9">
      <c r="A206" s="2" t="n"/>
      <c r="B206" s="2" t="n"/>
      <c r="C206" s="2" t="n"/>
      <c r="D206" s="2" t="n"/>
      <c r="E206" s="2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9">
      <c r="A207" s="2" t="n"/>
      <c r="B207" s="2" t="n"/>
      <c r="C207" s="2" t="n"/>
      <c r="D207" s="2" t="n"/>
      <c r="E207" s="2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9">
      <c r="A208" s="2" t="n"/>
      <c r="B208" s="2" t="n"/>
      <c r="C208" s="2" t="n"/>
      <c r="D208" s="2" t="n"/>
      <c r="E208" s="2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9">
      <c r="A209" s="2" t="n"/>
      <c r="B209" s="2" t="n"/>
      <c r="C209" s="2" t="n"/>
      <c r="D209" s="2" t="n"/>
      <c r="E209" s="2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9">
      <c r="A210" s="2" t="n"/>
      <c r="B210" s="2" t="n"/>
      <c r="C210" s="2" t="n"/>
      <c r="D210" s="2" t="n"/>
      <c r="E210" s="2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9">
      <c r="A211" s="2" t="n"/>
      <c r="B211" s="2" t="n"/>
      <c r="C211" s="2" t="n"/>
      <c r="D211" s="2" t="n"/>
      <c r="E211" s="2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9">
      <c r="A212" s="2" t="n"/>
      <c r="B212" s="2" t="n"/>
      <c r="C212" s="2" t="n"/>
      <c r="D212" s="2" t="n"/>
      <c r="E212" s="2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9">
      <c r="A213" s="2" t="n"/>
      <c r="B213" s="2" t="n"/>
      <c r="C213" s="2" t="n"/>
      <c r="D213" s="2" t="n"/>
      <c r="E213" s="2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9">
      <c r="A214" s="2" t="n"/>
      <c r="B214" s="2" t="n"/>
      <c r="C214" s="2" t="n"/>
      <c r="D214" s="2" t="n"/>
      <c r="E214" s="2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9">
      <c r="A215" s="2" t="n"/>
      <c r="B215" s="2" t="n"/>
      <c r="C215" s="2" t="n"/>
      <c r="D215" s="2" t="n"/>
      <c r="E215" s="2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9">
      <c r="A216" s="2" t="n"/>
      <c r="B216" s="2" t="n"/>
      <c r="C216" s="2" t="n"/>
      <c r="D216" s="2" t="n"/>
      <c r="E216" s="2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9">
      <c r="A217" s="2" t="n"/>
      <c r="B217" s="2" t="n"/>
      <c r="C217" s="2" t="n"/>
      <c r="D217" s="2" t="n"/>
      <c r="E217" s="2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9">
      <c r="A218" s="2" t="n"/>
      <c r="B218" s="2" t="n"/>
      <c r="C218" s="2" t="n"/>
      <c r="D218" s="2" t="n"/>
      <c r="E218" s="2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9">
      <c r="A219" s="2" t="n"/>
      <c r="B219" s="2" t="n"/>
      <c r="C219" s="2" t="n"/>
      <c r="D219" s="2" t="n"/>
      <c r="E219" s="2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9">
      <c r="A220" s="2" t="n"/>
      <c r="B220" s="2" t="n"/>
      <c r="C220" s="2" t="n"/>
      <c r="D220" s="2" t="n"/>
      <c r="E220" s="2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1">
    <mergeCell ref="A17:E19"/>
  </mergeCells>
  <pageMargins left="0.75" right="0.75" top="1" bottom="1" header="0" footer="0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selection activeCell="A1" sqref="A1"/>
    </sheetView>
  </sheetViews>
  <sheetFormatPr baseColWidth="8" defaultRowHeight="15"/>
  <cols>
    <col width="34" customWidth="1" style="29" min="1" max="1"/>
    <col width="10" customWidth="1" style="29" min="2" max="2"/>
    <col width="10" customWidth="1" style="29" min="3" max="3"/>
    <col width="12" customWidth="1" style="29" min="4" max="4"/>
    <col width="14" customWidth="1" style="29" min="5" max="5"/>
    <col width="10" customWidth="1" style="29" min="6" max="6"/>
    <col width="18" customWidth="1" style="29" min="7" max="7"/>
  </cols>
  <sheetData>
    <row r="1">
      <c r="A1" s="6" t="inlineStr">
        <is>
          <t>Conteo por tipo y estado</t>
        </is>
      </c>
    </row>
    <row r="2">
      <c r="A2" s="10" t="inlineStr">
        <is>
          <t>Se calcula con fórmulas sobre la hoja Product Backlog; se actualiza solo al cambiar los estados.</t>
        </is>
      </c>
    </row>
    <row r="3"/>
    <row r="4">
      <c r="A4" s="13" t="inlineStr">
        <is>
          <t>Tipo</t>
        </is>
      </c>
      <c r="B4" s="13" t="inlineStr">
        <is>
          <t>Total</t>
        </is>
      </c>
      <c r="C4" s="13" t="inlineStr">
        <is>
          <t>Hechas</t>
        </is>
      </c>
      <c r="D4" s="13" t="inlineStr">
        <is>
          <t>Pendientes</t>
        </is>
      </c>
      <c r="E4" s="13" t="inlineStr">
        <is>
          <t>Otros estados</t>
        </is>
      </c>
      <c r="F4" s="13" t="inlineStr">
        <is>
          <t>Puntos</t>
        </is>
      </c>
      <c r="G4" s="13" t="inlineStr">
        <is>
          <t>Puntos terminados</t>
        </is>
      </c>
    </row>
    <row r="5">
      <c r="A5" s="24" t="inlineStr">
        <is>
          <t>Épicas</t>
        </is>
      </c>
      <c r="B5" s="25">
        <f>COUNTIF('Product Backlog'!$B$6:$B$129,"Épica")</f>
        <v/>
      </c>
      <c r="C5" s="25" t="inlineStr">
        <is>
          <t>—</t>
        </is>
      </c>
      <c r="D5" s="25" t="inlineStr">
        <is>
          <t>—</t>
        </is>
      </c>
      <c r="E5" s="25" t="inlineStr">
        <is>
          <t>—</t>
        </is>
      </c>
      <c r="F5" s="25" t="inlineStr">
        <is>
          <t>—</t>
        </is>
      </c>
      <c r="G5" s="25" t="inlineStr">
        <is>
          <t>—</t>
        </is>
      </c>
    </row>
    <row r="6">
      <c r="A6" s="24" t="inlineStr">
        <is>
          <t>Características</t>
        </is>
      </c>
      <c r="B6" s="25">
        <f>COUNTIF('Product Backlog'!$B$6:$B$129,"Característica")</f>
        <v/>
      </c>
      <c r="C6" s="25" t="inlineStr">
        <is>
          <t>—</t>
        </is>
      </c>
      <c r="D6" s="25" t="inlineStr">
        <is>
          <t>—</t>
        </is>
      </c>
      <c r="E6" s="25" t="inlineStr">
        <is>
          <t>—</t>
        </is>
      </c>
      <c r="F6" s="25" t="inlineStr">
        <is>
          <t>—</t>
        </is>
      </c>
      <c r="G6" s="25" t="inlineStr">
        <is>
          <t>—</t>
        </is>
      </c>
    </row>
    <row r="7">
      <c r="A7" s="24" t="inlineStr">
        <is>
          <t>Historias de usuario</t>
        </is>
      </c>
      <c r="B7" s="25">
        <f>COUNTIF('Product Backlog'!$B$6:$B$129,"Historia de usuario")</f>
        <v/>
      </c>
      <c r="C7" s="25">
        <f>COUNTIFS('Product Backlog'!$B$6:$B$129,"Historia de usuario",'Product Backlog'!$I$6:$I$129,"Hecho")</f>
        <v/>
      </c>
      <c r="D7" s="25">
        <f>COUNTIFS('Product Backlog'!$B$6:$B$129,"Historia de usuario",'Product Backlog'!$I$6:$I$129,"Pendiente")</f>
        <v/>
      </c>
      <c r="E7" s="25">
        <f>B7-C7-D7</f>
        <v/>
      </c>
      <c r="F7" s="25">
        <f>SUMIFS('Product Backlog'!$G$6:$G$129,'Product Backlog'!$B$6:$B$129,"Historia de usuario")</f>
        <v/>
      </c>
      <c r="G7" s="25">
        <f>SUMIFS('Product Backlog'!$G$6:$G$129,'Product Backlog'!$B$6:$B$129,"Historia de usuario",'Product Backlog'!$I$6:$I$129,"Hecho")</f>
        <v/>
      </c>
    </row>
    <row r="8">
      <c r="A8" s="24" t="inlineStr">
        <is>
          <t>Historias técnicas</t>
        </is>
      </c>
      <c r="B8" s="25">
        <f>COUNTIF('Product Backlog'!$B$6:$B$129,"Historia técnica")</f>
        <v/>
      </c>
      <c r="C8" s="25">
        <f>COUNTIFS('Product Backlog'!$B$6:$B$129,"Historia técnica",'Product Backlog'!$I$6:$I$129,"Hecho")</f>
        <v/>
      </c>
      <c r="D8" s="25">
        <f>COUNTIFS('Product Backlog'!$B$6:$B$129,"Historia técnica",'Product Backlog'!$I$6:$I$129,"Pendiente")</f>
        <v/>
      </c>
      <c r="E8" s="25">
        <f>B8-C8-D8</f>
        <v/>
      </c>
      <c r="F8" s="25">
        <f>SUMIFS('Product Backlog'!$G$6:$G$129,'Product Backlog'!$B$6:$B$129,"Historia técnica")</f>
        <v/>
      </c>
      <c r="G8" s="25">
        <f>SUMIFS('Product Backlog'!$G$6:$G$129,'Product Backlog'!$B$6:$B$129,"Historia técnica",'Product Backlog'!$I$6:$I$129,"Hecho")</f>
        <v/>
      </c>
    </row>
    <row r="9">
      <c r="A9" s="24" t="inlineStr">
        <is>
          <t>Restricciones técnicas</t>
        </is>
      </c>
      <c r="B9" s="25">
        <f>COUNTIF('Product Backlog'!$B$6:$B$129,"Restricción técnica")</f>
        <v/>
      </c>
      <c r="C9" s="25">
        <f>COUNTIFS('Product Backlog'!$B$6:$B$129,"Restricción técnica",'Product Backlog'!$I$6:$I$129,"Hecho")</f>
        <v/>
      </c>
      <c r="D9" s="25">
        <f>COUNTIFS('Product Backlog'!$B$6:$B$129,"Restricción técnica",'Product Backlog'!$I$6:$I$129,"Pendiente")</f>
        <v/>
      </c>
      <c r="E9" s="25">
        <f>B9-C9-D9</f>
        <v/>
      </c>
      <c r="F9" s="25" t="inlineStr">
        <is>
          <t>—</t>
        </is>
      </c>
      <c r="G9" s="25" t="inlineStr">
        <is>
          <t>—</t>
        </is>
      </c>
    </row>
    <row r="10">
      <c r="A10" s="24" t="inlineStr">
        <is>
          <t>Tareas</t>
        </is>
      </c>
      <c r="B10" s="25">
        <f>COUNTIF('Product Backlog'!$B$6:$B$129,"Tarea")</f>
        <v/>
      </c>
      <c r="C10" s="25">
        <f>COUNTIFS('Product Backlog'!$B$6:$B$129,"Tarea",'Product Backlog'!$I$6:$I$129,"Hecho")</f>
        <v/>
      </c>
      <c r="D10" s="25">
        <f>COUNTIFS('Product Backlog'!$B$6:$B$129,"Tarea",'Product Backlog'!$I$6:$I$129,"Pendiente")</f>
        <v/>
      </c>
      <c r="E10" s="25">
        <f>B10-C10-D10</f>
        <v/>
      </c>
      <c r="F10" s="25" t="inlineStr">
        <is>
          <t>—</t>
        </is>
      </c>
      <c r="G10" s="25" t="inlineStr">
        <is>
          <t>—</t>
        </is>
      </c>
    </row>
    <row r="11">
      <c r="A11" s="22" t="inlineStr">
        <is>
          <t>Historias (de usuario y técnicas)</t>
        </is>
      </c>
      <c r="B11" s="23">
        <f>B7+B8</f>
        <v/>
      </c>
      <c r="C11" s="23">
        <f>C7+C8</f>
        <v/>
      </c>
      <c r="D11" s="23">
        <f>D7+D8</f>
        <v/>
      </c>
      <c r="E11" s="23">
        <f>E7+E8</f>
        <v/>
      </c>
      <c r="F11" s="23">
        <f>F7+F8</f>
        <v/>
      </c>
      <c r="G11" s="23">
        <f>G7+G8</f>
        <v/>
      </c>
    </row>
    <row r="12"/>
    <row r="13">
      <c r="A13" s="10" t="inlineStr">
        <is>
          <t>Otros estados: Transversal (restricciones técnicas).</t>
        </is>
      </c>
    </row>
    <row r="14"/>
    <row r="15">
      <c r="A15" s="6" t="inlineStr">
        <is>
          <t>Tareas por iteración</t>
        </is>
      </c>
    </row>
    <row r="16">
      <c r="A16" s="13" t="inlineStr">
        <is>
          <t>Iteración</t>
        </is>
      </c>
      <c r="B16" s="13" t="inlineStr">
        <is>
          <t>Tareas</t>
        </is>
      </c>
      <c r="C16" s="13" t="inlineStr">
        <is>
          <t>Hechas</t>
        </is>
      </c>
      <c r="D16" s="13" t="inlineStr">
        <is>
          <t>Pendientes</t>
        </is>
      </c>
      <c r="E16" s="13" t="inlineStr">
        <is>
          <t>Otros estados</t>
        </is>
      </c>
    </row>
    <row r="17">
      <c r="A17" s="24" t="inlineStr">
        <is>
          <t>Iteración 1</t>
        </is>
      </c>
      <c r="B17" s="25">
        <f>COUNTIFS('Product Backlog'!$B$6:$B$129,"Tarea",'Product Backlog'!$H$6:$H$129,A17)</f>
        <v/>
      </c>
      <c r="C17" s="25">
        <f>COUNTIFS('Product Backlog'!$B$6:$B$129,"Tarea",'Product Backlog'!$H$6:$H$129,A17,'Product Backlog'!$I$6:$I$129,"Hecho")</f>
        <v/>
      </c>
      <c r="D17" s="25">
        <f>COUNTIFS('Product Backlog'!$B$6:$B$129,"Tarea",'Product Backlog'!$H$6:$H$129,A17,'Product Backlog'!$I$6:$I$129,"Pendiente")</f>
        <v/>
      </c>
      <c r="E17" s="25">
        <f>B17-C17-D17</f>
        <v/>
      </c>
    </row>
    <row r="18">
      <c r="A18" s="24" t="inlineStr">
        <is>
          <t>Iteración 2</t>
        </is>
      </c>
      <c r="B18" s="25">
        <f>COUNTIFS('Product Backlog'!$B$6:$B$129,"Tarea",'Product Backlog'!$H$6:$H$129,A18)</f>
        <v/>
      </c>
      <c r="C18" s="25">
        <f>COUNTIFS('Product Backlog'!$B$6:$B$129,"Tarea",'Product Backlog'!$H$6:$H$129,A18,'Product Backlog'!$I$6:$I$129,"Hecho")</f>
        <v/>
      </c>
      <c r="D18" s="25">
        <f>COUNTIFS('Product Backlog'!$B$6:$B$129,"Tarea",'Product Backlog'!$H$6:$H$129,A18,'Product Backlog'!$I$6:$I$129,"Pendiente")</f>
        <v/>
      </c>
      <c r="E18" s="25">
        <f>B18-C18-D18</f>
        <v/>
      </c>
    </row>
    <row r="19">
      <c r="A19" s="24" t="inlineStr">
        <is>
          <t>Iteración 3</t>
        </is>
      </c>
      <c r="B19" s="25">
        <f>COUNTIFS('Product Backlog'!$B$6:$B$129,"Tarea",'Product Backlog'!$H$6:$H$129,A19)</f>
        <v/>
      </c>
      <c r="C19" s="25">
        <f>COUNTIFS('Product Backlog'!$B$6:$B$129,"Tarea",'Product Backlog'!$H$6:$H$129,A19,'Product Backlog'!$I$6:$I$129,"Hecho")</f>
        <v/>
      </c>
      <c r="D19" s="25">
        <f>COUNTIFS('Product Backlog'!$B$6:$B$129,"Tarea",'Product Backlog'!$H$6:$H$129,A19,'Product Backlog'!$I$6:$I$129,"Pendiente")</f>
        <v/>
      </c>
      <c r="E19" s="25">
        <f>B19-C19-D19</f>
        <v/>
      </c>
    </row>
    <row r="20">
      <c r="A20" s="24" t="inlineStr">
        <is>
          <t>Iteración 4</t>
        </is>
      </c>
      <c r="B20" s="25">
        <f>COUNTIFS('Product Backlog'!$B$6:$B$129,"Tarea",'Product Backlog'!$H$6:$H$129,A20)</f>
        <v/>
      </c>
      <c r="C20" s="25">
        <f>COUNTIFS('Product Backlog'!$B$6:$B$129,"Tarea",'Product Backlog'!$H$6:$H$129,A20,'Product Backlog'!$I$6:$I$129,"Hecho")</f>
        <v/>
      </c>
      <c r="D20" s="25">
        <f>COUNTIFS('Product Backlog'!$B$6:$B$129,"Tarea",'Product Backlog'!$H$6:$H$129,A20,'Product Backlog'!$I$6:$I$129,"Pendiente")</f>
        <v/>
      </c>
      <c r="E20" s="25">
        <f>B20-C20-D20</f>
        <v/>
      </c>
    </row>
    <row r="21">
      <c r="A21" s="24" t="inlineStr">
        <is>
          <t>Iteración 5</t>
        </is>
      </c>
      <c r="B21" s="25">
        <f>COUNTIFS('Product Backlog'!$B$6:$B$129,"Tarea",'Product Backlog'!$H$6:$H$129,A21)</f>
        <v/>
      </c>
      <c r="C21" s="25">
        <f>COUNTIFS('Product Backlog'!$B$6:$B$129,"Tarea",'Product Backlog'!$H$6:$H$129,A21,'Product Backlog'!$I$6:$I$129,"Hecho")</f>
        <v/>
      </c>
      <c r="D21" s="25">
        <f>COUNTIFS('Product Backlog'!$B$6:$B$129,"Tarea",'Product Backlog'!$H$6:$H$129,A21,'Product Backlog'!$I$6:$I$129,"Pendiente")</f>
        <v/>
      </c>
      <c r="E21" s="25">
        <f>B21-C21-D21</f>
        <v/>
      </c>
    </row>
    <row r="22">
      <c r="A22" s="24" t="inlineStr">
        <is>
          <t>Iteración 6</t>
        </is>
      </c>
      <c r="B22" s="25">
        <f>COUNTIFS('Product Backlog'!$B$6:$B$129,"Tarea",'Product Backlog'!$H$6:$H$129,A22)</f>
        <v/>
      </c>
      <c r="C22" s="25">
        <f>COUNTIFS('Product Backlog'!$B$6:$B$129,"Tarea",'Product Backlog'!$H$6:$H$129,A22,'Product Backlog'!$I$6:$I$129,"Hecho")</f>
        <v/>
      </c>
      <c r="D22" s="25">
        <f>COUNTIFS('Product Backlog'!$B$6:$B$129,"Tarea",'Product Backlog'!$H$6:$H$129,A22,'Product Backlog'!$I$6:$I$129,"Pendiente")</f>
        <v/>
      </c>
      <c r="E22" s="25">
        <f>B22-C22-D22</f>
        <v/>
      </c>
    </row>
    <row r="23">
      <c r="A23" s="24" t="inlineStr">
        <is>
          <t>Iteración 7</t>
        </is>
      </c>
      <c r="B23" s="25">
        <f>COUNTIFS('Product Backlog'!$B$6:$B$129,"Tarea",'Product Backlog'!$H$6:$H$129,A23)</f>
        <v/>
      </c>
      <c r="C23" s="25">
        <f>COUNTIFS('Product Backlog'!$B$6:$B$129,"Tarea",'Product Backlog'!$H$6:$H$129,A23,'Product Backlog'!$I$6:$I$129,"Hecho")</f>
        <v/>
      </c>
      <c r="D23" s="25">
        <f>COUNTIFS('Product Backlog'!$B$6:$B$129,"Tarea",'Product Backlog'!$H$6:$H$129,A23,'Product Backlog'!$I$6:$I$129,"Pendiente")</f>
        <v/>
      </c>
      <c r="E23" s="25">
        <f>B23-C23-D23</f>
        <v/>
      </c>
    </row>
    <row r="24">
      <c r="A24" s="24" t="inlineStr">
        <is>
          <t>Iteración 8</t>
        </is>
      </c>
      <c r="B24" s="25">
        <f>COUNTIFS('Product Backlog'!$B$6:$B$129,"Tarea",'Product Backlog'!$H$6:$H$129,A24)</f>
        <v/>
      </c>
      <c r="C24" s="25">
        <f>COUNTIFS('Product Backlog'!$B$6:$B$129,"Tarea",'Product Backlog'!$H$6:$H$129,A24,'Product Backlog'!$I$6:$I$129,"Hecho")</f>
        <v/>
      </c>
      <c r="D24" s="25">
        <f>COUNTIFS('Product Backlog'!$B$6:$B$129,"Tarea",'Product Backlog'!$H$6:$H$129,A24,'Product Backlog'!$I$6:$I$129,"Pendiente")</f>
        <v/>
      </c>
      <c r="E24" s="25">
        <f>B24-C24-D24</f>
        <v/>
      </c>
    </row>
    <row r="25">
      <c r="A25" s="24" t="inlineStr">
        <is>
          <t>Iteración 9</t>
        </is>
      </c>
      <c r="B25" s="25">
        <f>COUNTIFS('Product Backlog'!$B$6:$B$129,"Tarea",'Product Backlog'!$H$6:$H$129,A25)</f>
        <v/>
      </c>
      <c r="C25" s="25">
        <f>COUNTIFS('Product Backlog'!$B$6:$B$129,"Tarea",'Product Backlog'!$H$6:$H$129,A25,'Product Backlog'!$I$6:$I$129,"Hecho")</f>
        <v/>
      </c>
      <c r="D25" s="25">
        <f>COUNTIFS('Product Backlog'!$B$6:$B$129,"Tarea",'Product Backlog'!$H$6:$H$129,A25,'Product Backlog'!$I$6:$I$129,"Pendiente")</f>
        <v/>
      </c>
      <c r="E25" s="25">
        <f>B25-C25-D25</f>
        <v/>
      </c>
    </row>
    <row r="26">
      <c r="A26" s="24" t="inlineStr">
        <is>
          <t>Iteración 10</t>
        </is>
      </c>
      <c r="B26" s="25">
        <f>COUNTIFS('Product Backlog'!$B$6:$B$129,"Tarea",'Product Backlog'!$H$6:$H$129,A26)</f>
        <v/>
      </c>
      <c r="C26" s="25">
        <f>COUNTIFS('Product Backlog'!$B$6:$B$129,"Tarea",'Product Backlog'!$H$6:$H$129,A26,'Product Backlog'!$I$6:$I$129,"Hecho")</f>
        <v/>
      </c>
      <c r="D26" s="25">
        <f>COUNTIFS('Product Backlog'!$B$6:$B$129,"Tarea",'Product Backlog'!$H$6:$H$129,A26,'Product Backlog'!$I$6:$I$129,"Pendiente")</f>
        <v/>
      </c>
      <c r="E26" s="25">
        <f>B26-C26-D26</f>
        <v/>
      </c>
    </row>
    <row r="27">
      <c r="A27" s="24" t="inlineStr">
        <is>
          <t>Por planificar</t>
        </is>
      </c>
      <c r="B27" s="25">
        <f>COUNTIFS('Product Backlog'!$B$6:$B$129,"Tarea",'Product Backlog'!$H$6:$H$129,A27)</f>
        <v/>
      </c>
      <c r="C27" s="25">
        <f>COUNTIFS('Product Backlog'!$B$6:$B$129,"Tarea",'Product Backlog'!$H$6:$H$129,A27,'Product Backlog'!$I$6:$I$129,"Hecho")</f>
        <v/>
      </c>
      <c r="D27" s="25">
        <f>COUNTIFS('Product Backlog'!$B$6:$B$129,"Tarea",'Product Backlog'!$H$6:$H$129,A27,'Product Backlog'!$I$6:$I$129,"Pendiente")</f>
        <v/>
      </c>
      <c r="E27" s="25">
        <f>B27-C27-D27</f>
        <v/>
      </c>
    </row>
    <row r="28">
      <c r="A28" s="22" t="inlineStr">
        <is>
          <t>Total</t>
        </is>
      </c>
      <c r="B28" s="23">
        <f>SUM(B17:B27)</f>
        <v/>
      </c>
      <c r="C28" s="23">
        <f>SUM(C17:C27)</f>
        <v/>
      </c>
      <c r="D28" s="23">
        <f>SUM(D17:D27)</f>
        <v/>
      </c>
      <c r="E28" s="23">
        <f>SUM(E17:E27)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29" min="1" max="1"/>
    <col width="70" customWidth="1" style="29" min="2" max="2"/>
    <col width="10" customWidth="1" style="29" min="3" max="3"/>
    <col width="13" customWidth="1" style="29" min="4" max="4"/>
    <col width="13" customWidth="1" style="29" min="5" max="5"/>
    <col width="21" customWidth="1" style="29" min="6" max="6"/>
  </cols>
  <sheetData>
    <row r="1">
      <c r="A1" s="6" t="inlineStr">
        <is>
          <t>Tareas por número</t>
        </is>
      </c>
    </row>
    <row r="2">
      <c r="A2" s="10" t="inlineStr">
        <is>
          <t>Todas las tareas del Product Backlog en orden de número, con la historia a la que pertenecen. Las pruebas de aceptación y las tareas de calidad pertenecen a la característica F1.4 (Calidad e integración).</t>
        </is>
      </c>
    </row>
    <row r="4">
      <c r="A4" s="13" t="inlineStr">
        <is>
          <t>ID</t>
        </is>
      </c>
      <c r="B4" s="13" t="inlineStr">
        <is>
          <t>Tarea</t>
        </is>
      </c>
      <c r="C4" s="13" t="inlineStr">
        <is>
          <t>Historia</t>
        </is>
      </c>
      <c r="D4" s="13" t="inlineStr">
        <is>
          <t>Iteración</t>
        </is>
      </c>
      <c r="E4" s="13" t="inlineStr">
        <is>
          <t>Estado</t>
        </is>
      </c>
      <c r="F4" s="13" t="inlineStr">
        <is>
          <t>Responsable</t>
        </is>
      </c>
    </row>
    <row r="5" ht="15" customHeight="1" s="29">
      <c r="A5" s="24" t="inlineStr">
        <is>
          <t>T-01</t>
        </is>
      </c>
      <c r="B5" s="24" t="inlineStr">
        <is>
          <t>Instalar y ejecutar el proyecto en los tres equipos</t>
        </is>
      </c>
      <c r="C5" s="25" t="inlineStr">
        <is>
          <t>HT-06</t>
        </is>
      </c>
      <c r="D5" s="25" t="inlineStr">
        <is>
          <t>Iteración 5</t>
        </is>
      </c>
      <c r="E5" s="25" t="inlineStr">
        <is>
          <t>Hecho</t>
        </is>
      </c>
      <c r="F5" s="24" t="inlineStr">
        <is>
          <t>Equipo completo</t>
        </is>
      </c>
    </row>
    <row r="6" ht="15" customHeight="1" s="29">
      <c r="A6" s="24" t="inlineStr">
        <is>
          <t>T-02</t>
        </is>
      </c>
      <c r="B6" s="24" t="inlineStr">
        <is>
          <t>Crear el repositorio y las convenciones de ramas</t>
        </is>
      </c>
      <c r="C6" s="25" t="inlineStr">
        <is>
          <t>HT-01</t>
        </is>
      </c>
      <c r="D6" s="25" t="inlineStr">
        <is>
          <t>Iteración 1</t>
        </is>
      </c>
      <c r="E6" s="25" t="inlineStr">
        <is>
          <t>Hecho</t>
        </is>
      </c>
      <c r="F6" s="24" t="inlineStr">
        <is>
          <t>Jeremías Fernández</t>
        </is>
      </c>
    </row>
    <row r="7" ht="15" customHeight="1" s="29">
      <c r="A7" s="24" t="inlineStr">
        <is>
          <t>T-03</t>
        </is>
      </c>
      <c r="B7" s="24" t="inlineStr">
        <is>
          <t>Desplegar la compilación web en Vercel</t>
        </is>
      </c>
      <c r="C7" s="25" t="inlineStr">
        <is>
          <t>HT-01</t>
        </is>
      </c>
      <c r="D7" s="25" t="inlineStr">
        <is>
          <t>Iteración 1</t>
        </is>
      </c>
      <c r="E7" s="25" t="inlineStr">
        <is>
          <t>Hecho</t>
        </is>
      </c>
      <c r="F7" s="24" t="inlineStr">
        <is>
          <t>Jeremías Fernández</t>
        </is>
      </c>
    </row>
    <row r="8" ht="15" customHeight="1" s="29">
      <c r="A8" s="24" t="inlineStr">
        <is>
          <t>T-04</t>
        </is>
      </c>
      <c r="B8" s="24" t="inlineStr">
        <is>
          <t>Desplegar la API en un proyecto separado de Vercel</t>
        </is>
      </c>
      <c r="C8" s="25" t="inlineStr">
        <is>
          <t>HT-01</t>
        </is>
      </c>
      <c r="D8" s="25" t="inlineStr">
        <is>
          <t>Iteración 1</t>
        </is>
      </c>
      <c r="E8" s="25" t="inlineStr">
        <is>
          <t>Hecho</t>
        </is>
      </c>
      <c r="F8" s="24" t="inlineStr">
        <is>
          <t>Jeremías Fernández</t>
        </is>
      </c>
    </row>
    <row r="9" ht="15" customHeight="1" s="29">
      <c r="A9" s="24" t="inlineStr">
        <is>
          <t>T-05</t>
        </is>
      </c>
      <c r="B9" s="24" t="inlineStr">
        <is>
          <t>Definir las colecciones y las reglas de seguridad de Firestore</t>
        </is>
      </c>
      <c r="C9" s="25" t="inlineStr">
        <is>
          <t>HU-20</t>
        </is>
      </c>
      <c r="D9" s="25" t="inlineStr">
        <is>
          <t>Iteración 2</t>
        </is>
      </c>
      <c r="E9" s="25" t="inlineStr">
        <is>
          <t>Hecho</t>
        </is>
      </c>
      <c r="F9" s="24" t="inlineStr">
        <is>
          <t>Jeremías Fernández</t>
        </is>
      </c>
    </row>
    <row r="10" ht="15" customHeight="1" s="29">
      <c r="A10" s="24" t="inlineStr">
        <is>
          <t>T-06</t>
        </is>
      </c>
      <c r="B10" s="24" t="inlineStr">
        <is>
          <t>Definir los índices compuestos</t>
        </is>
      </c>
      <c r="C10" s="25" t="inlineStr">
        <is>
          <t>HU-20</t>
        </is>
      </c>
      <c r="D10" s="25" t="inlineStr">
        <is>
          <t>Iteración 2</t>
        </is>
      </c>
      <c r="E10" s="25" t="inlineStr">
        <is>
          <t>Hecho</t>
        </is>
      </c>
      <c r="F10" s="24" t="inlineStr">
        <is>
          <t>Jeremías Fernández</t>
        </is>
      </c>
    </row>
    <row r="11" ht="15" customHeight="1" s="29">
      <c r="A11" s="24" t="inlineStr">
        <is>
          <t>T-07</t>
        </is>
      </c>
      <c r="B11" s="24" t="inlineStr">
        <is>
          <t>Revisar el esquema local de Drift</t>
        </is>
      </c>
      <c r="C11" s="25" t="inlineStr">
        <is>
          <t>HU-20</t>
        </is>
      </c>
      <c r="D11" s="25" t="inlineStr">
        <is>
          <t>Iteración 2</t>
        </is>
      </c>
      <c r="E11" s="25" t="inlineStr">
        <is>
          <t>Hecho</t>
        </is>
      </c>
      <c r="F11" s="24" t="inlineStr">
        <is>
          <t>Sebastián Acevedo</t>
        </is>
      </c>
    </row>
    <row r="12" ht="15" customHeight="1" s="29">
      <c r="A12" s="24" t="inlineStr">
        <is>
          <t>T-08</t>
        </is>
      </c>
      <c r="B12" s="24" t="inlineStr">
        <is>
          <t>Implementar los modelos de dominio con pruebas de serialización</t>
        </is>
      </c>
      <c r="C12" s="25" t="inlineStr">
        <is>
          <t>HU-20</t>
        </is>
      </c>
      <c r="D12" s="25" t="inlineStr">
        <is>
          <t>Iteración 2</t>
        </is>
      </c>
      <c r="E12" s="25" t="inlineStr">
        <is>
          <t>Hecho</t>
        </is>
      </c>
      <c r="F12" s="24" t="inlineStr">
        <is>
          <t>Jeremías / Sebastián</t>
        </is>
      </c>
    </row>
    <row r="13" ht="15" customHeight="1" s="29">
      <c r="A13" s="24" t="inlineStr">
        <is>
          <t>T-09</t>
        </is>
      </c>
      <c r="B13" s="24" t="inlineStr">
        <is>
          <t>Cargar el banco de demostración</t>
        </is>
      </c>
      <c r="C13" s="25" t="inlineStr">
        <is>
          <t>HU-20</t>
        </is>
      </c>
      <c r="D13" s="25" t="inlineStr">
        <is>
          <t>Iteración 2</t>
        </is>
      </c>
      <c r="E13" s="25" t="inlineStr">
        <is>
          <t>Hecho</t>
        </is>
      </c>
      <c r="F13" s="24" t="inlineStr">
        <is>
          <t>Jeremías Fernández</t>
        </is>
      </c>
    </row>
    <row r="14" ht="15" customHeight="1" s="29">
      <c r="A14" s="24" t="inlineStr">
        <is>
          <t>T-10</t>
        </is>
      </c>
      <c r="B14" s="24" t="inlineStr">
        <is>
          <t>Alinear recorrecciones, usuarios y medallas con la consola de administración</t>
        </is>
      </c>
      <c r="C14" s="25" t="inlineStr">
        <is>
          <t>HU-20</t>
        </is>
      </c>
      <c r="D14" s="25" t="inlineStr">
        <is>
          <t>Iteración 3</t>
        </is>
      </c>
      <c r="E14" s="25" t="inlineStr">
        <is>
          <t>Hecho</t>
        </is>
      </c>
      <c r="F14" s="24" t="inlineStr">
        <is>
          <t>Jeremías Fernández</t>
        </is>
      </c>
    </row>
    <row r="15" ht="15" customHeight="1" s="29">
      <c r="A15" s="24" t="inlineStr">
        <is>
          <t>T-11</t>
        </is>
      </c>
      <c r="B15" s="24" t="inlineStr">
        <is>
          <t>Migrar la estructura base de Express a FastAPI</t>
        </is>
      </c>
      <c r="C15" s="25" t="inlineStr">
        <is>
          <t>HT-02</t>
        </is>
      </c>
      <c r="D15" s="25" t="inlineStr">
        <is>
          <t>Iteración 3</t>
        </is>
      </c>
      <c r="E15" s="25" t="inlineStr">
        <is>
          <t>Hecho</t>
        </is>
      </c>
      <c r="F15" s="24" t="inlineStr">
        <is>
          <t>Jeremías Fernández</t>
        </is>
      </c>
    </row>
    <row r="16" ht="15" customHeight="1" s="29">
      <c r="A16" s="24" t="inlineStr">
        <is>
          <t>T-12</t>
        </is>
      </c>
      <c r="B16" s="24" t="inlineStr">
        <is>
          <t>Implementar la estructura de respuesta y el catálogo de errores</t>
        </is>
      </c>
      <c r="C16" s="25" t="inlineStr">
        <is>
          <t>HT-02</t>
        </is>
      </c>
      <c r="D16" s="25" t="inlineStr">
        <is>
          <t>Iteración 3</t>
        </is>
      </c>
      <c r="E16" s="25" t="inlineStr">
        <is>
          <t>Hecho</t>
        </is>
      </c>
      <c r="F16" s="24" t="inlineStr">
        <is>
          <t>Jeremías Fernández</t>
        </is>
      </c>
    </row>
    <row r="17" ht="15" customHeight="1" s="29">
      <c r="A17" s="24" t="inlineStr">
        <is>
          <t>T-13</t>
        </is>
      </c>
      <c r="B17" s="24" t="inlineStr">
        <is>
          <t>Prueba que verifica que ninguna ruta entregue la alternativa correcta</t>
        </is>
      </c>
      <c r="C17" s="25" t="inlineStr">
        <is>
          <t>F1.4</t>
        </is>
      </c>
      <c r="D17" s="25" t="inlineStr">
        <is>
          <t>Iteración 3</t>
        </is>
      </c>
      <c r="E17" s="25" t="inlineStr">
        <is>
          <t>Hecho</t>
        </is>
      </c>
      <c r="F17" s="24" t="inlineStr">
        <is>
          <t>Jeremías Fernández</t>
        </is>
      </c>
    </row>
    <row r="18" ht="15" customHeight="1" s="29">
      <c r="A18" s="24" t="inlineStr">
        <is>
          <t>T-14</t>
        </is>
      </c>
      <c r="B18" s="24" t="inlineStr">
        <is>
          <t>Configurar Firebase Authentication en la aplicación y en la API</t>
        </is>
      </c>
      <c r="C18" s="25" t="inlineStr">
        <is>
          <t>HU-21</t>
        </is>
      </c>
      <c r="D18" s="25" t="inlineStr">
        <is>
          <t>Iteración 3</t>
        </is>
      </c>
      <c r="E18" s="25" t="inlineStr">
        <is>
          <t>Hecho</t>
        </is>
      </c>
      <c r="F18" s="24" t="inlineStr">
        <is>
          <t>Jeremías Fernández</t>
        </is>
      </c>
    </row>
    <row r="19" ht="15" customHeight="1" s="29">
      <c r="A19" s="24" t="inlineStr">
        <is>
          <t>T-15</t>
        </is>
      </c>
      <c r="B19" s="24" t="inlineStr">
        <is>
          <t>Validar el token de sesión en el backend</t>
        </is>
      </c>
      <c r="C19" s="25" t="inlineStr">
        <is>
          <t>HU-21</t>
        </is>
      </c>
      <c r="D19" s="25" t="inlineStr">
        <is>
          <t>Iteración 3</t>
        </is>
      </c>
      <c r="E19" s="25" t="inlineStr">
        <is>
          <t>Hecho</t>
        </is>
      </c>
      <c r="F19" s="24" t="inlineStr">
        <is>
          <t>Jeremías Fernández</t>
        </is>
      </c>
    </row>
    <row r="20" ht="15" customHeight="1" s="29">
      <c r="A20" s="24" t="inlineStr">
        <is>
          <t>T-16</t>
        </is>
      </c>
      <c r="B20" s="24" t="inlineStr">
        <is>
          <t>Interceptor que adjunta el token y reintenta ante un 401</t>
        </is>
      </c>
      <c r="C20" s="25" t="inlineStr">
        <is>
          <t>HU-16</t>
        </is>
      </c>
      <c r="D20" s="25" t="inlineStr">
        <is>
          <t>Iteración 3</t>
        </is>
      </c>
      <c r="E20" s="25" t="inlineStr">
        <is>
          <t>Hecho</t>
        </is>
      </c>
      <c r="F20" s="24" t="inlineStr">
        <is>
          <t>Jeremías Fernández</t>
        </is>
      </c>
    </row>
    <row r="21" ht="15" customHeight="1" s="29">
      <c r="A21" s="24" t="inlineStr">
        <is>
          <t>T-17</t>
        </is>
      </c>
      <c r="B21" s="24" t="inlineStr">
        <is>
          <t>Servicio GET /tests</t>
        </is>
      </c>
      <c r="C21" s="25" t="inlineStr">
        <is>
          <t>HU-11</t>
        </is>
      </c>
      <c r="D21" s="25" t="inlineStr">
        <is>
          <t>Iteración 3</t>
        </is>
      </c>
      <c r="E21" s="25" t="inlineStr">
        <is>
          <t>Hecho</t>
        </is>
      </c>
      <c r="F21" s="24" t="inlineStr">
        <is>
          <t>Jeremías Fernández</t>
        </is>
      </c>
    </row>
    <row r="22" ht="15" customHeight="1" s="29">
      <c r="A22" s="24" t="inlineStr">
        <is>
          <t>T-18</t>
        </is>
      </c>
      <c r="B22" s="24" t="inlineStr">
        <is>
          <t>Servicios GET y PUT /me/preferences</t>
        </is>
      </c>
      <c r="C22" s="25" t="inlineStr">
        <is>
          <t>HU-12</t>
        </is>
      </c>
      <c r="D22" s="25" t="inlineStr">
        <is>
          <t>Iteración 3</t>
        </is>
      </c>
      <c r="E22" s="25" t="inlineStr">
        <is>
          <t>Hecho</t>
        </is>
      </c>
      <c r="F22" s="24" t="inlineStr">
        <is>
          <t>Jeremías Fernández</t>
        </is>
      </c>
    </row>
    <row r="23" ht="15" customHeight="1" s="29">
      <c r="A23" s="24" t="inlineStr">
        <is>
          <t>T-19</t>
        </is>
      </c>
      <c r="B23" s="24" t="inlineStr">
        <is>
          <t>Servicio GET /practice/next con exclusión de preguntas respondidas</t>
        </is>
      </c>
      <c r="C23" s="25" t="inlineStr">
        <is>
          <t>HU-01</t>
        </is>
      </c>
      <c r="D23" s="25" t="inlineStr">
        <is>
          <t>Iteración 3</t>
        </is>
      </c>
      <c r="E23" s="25" t="inlineStr">
        <is>
          <t>Hecho</t>
        </is>
      </c>
      <c r="F23" s="24" t="inlineStr">
        <is>
          <t>Jeremías Fernández</t>
        </is>
      </c>
    </row>
    <row r="24" ht="15" customHeight="1" s="29">
      <c r="A24" s="24" t="inlineStr">
        <is>
          <t>T-20</t>
        </is>
      </c>
      <c r="B24" s="24" t="inlineStr">
        <is>
          <t>Servicio GET /questions/{id}</t>
        </is>
      </c>
      <c r="C24" s="25" t="inlineStr">
        <is>
          <t>HU-01</t>
        </is>
      </c>
      <c r="D24" s="25" t="inlineStr">
        <is>
          <t>Iteración 4</t>
        </is>
      </c>
      <c r="E24" s="25" t="inlineStr">
        <is>
          <t>Hecho</t>
        </is>
      </c>
      <c r="F24" s="24" t="inlineStr">
        <is>
          <t>Jeremías Fernández</t>
        </is>
      </c>
    </row>
    <row r="25" ht="15" customHeight="1" s="29">
      <c r="A25" s="24" t="inlineStr">
        <is>
          <t>T-21</t>
        </is>
      </c>
      <c r="B25" s="24" t="inlineStr">
        <is>
          <t>Construir la pantalla Pregunta integrada con el servicio</t>
        </is>
      </c>
      <c r="C25" s="25" t="inlineStr">
        <is>
          <t>HU-02</t>
        </is>
      </c>
      <c r="D25" s="25" t="inlineStr">
        <is>
          <t>Iteración 3</t>
        </is>
      </c>
      <c r="E25" s="25" t="inlineStr">
        <is>
          <t>Hecho</t>
        </is>
      </c>
      <c r="F25" s="24" t="inlineStr">
        <is>
          <t>Sebastián Acevedo</t>
        </is>
      </c>
    </row>
    <row r="26" ht="15" customHeight="1" s="29">
      <c r="A26" s="24" t="inlineStr">
        <is>
          <t>T-22</t>
        </is>
      </c>
      <c r="B26" s="24" t="inlineStr">
        <is>
          <t>Traducir los errores de cuota a la pantalla de desbloqueo</t>
        </is>
      </c>
      <c r="C26" s="25" t="inlineStr">
        <is>
          <t>HU-02</t>
        </is>
      </c>
      <c r="D26" s="25" t="inlineStr">
        <is>
          <t>Iteración 3</t>
        </is>
      </c>
      <c r="E26" s="25" t="inlineStr">
        <is>
          <t>Hecho</t>
        </is>
      </c>
      <c r="F26" s="24" t="inlineStr">
        <is>
          <t>Sebastián Acevedo</t>
        </is>
      </c>
    </row>
    <row r="27" ht="15" customHeight="1" s="29">
      <c r="A27" s="24" t="inlineStr">
        <is>
          <t>T-23</t>
        </is>
      </c>
      <c r="B27" s="24" t="inlineStr">
        <is>
          <t>Restringir las claves de Firebase por aplicación y dominio</t>
        </is>
      </c>
      <c r="C27" s="25" t="inlineStr">
        <is>
          <t>HU-21</t>
        </is>
      </c>
      <c r="D27" s="25" t="inlineStr">
        <is>
          <t>Iteración 5</t>
        </is>
      </c>
      <c r="E27" s="25" t="inlineStr">
        <is>
          <t>Hecho</t>
        </is>
      </c>
      <c r="F27" s="24" t="inlineStr">
        <is>
          <t>Jeremías Fernández</t>
        </is>
      </c>
    </row>
    <row r="28" ht="15" customHeight="1" s="29">
      <c r="A28" s="24" t="inlineStr">
        <is>
          <t>T-24</t>
        </is>
      </c>
      <c r="B28" s="24" t="inlineStr">
        <is>
          <t>Diseñar y ejecutar las pruebas de aceptación de la entrega funcional 1</t>
        </is>
      </c>
      <c r="C28" s="25" t="inlineStr">
        <is>
          <t>F1.4</t>
        </is>
      </c>
      <c r="D28" s="25" t="inlineStr">
        <is>
          <t>Iteración 3</t>
        </is>
      </c>
      <c r="E28" s="25" t="inlineStr">
        <is>
          <t>Hecho</t>
        </is>
      </c>
      <c r="F28" s="24" t="inlineStr">
        <is>
          <t>Martin Espinoza</t>
        </is>
      </c>
    </row>
    <row r="29" ht="15" customHeight="1" s="29">
      <c r="A29" s="24" t="inlineStr">
        <is>
          <t>T-25</t>
        </is>
      </c>
      <c r="B29" s="24" t="inlineStr">
        <is>
          <t>Elegir la pregunta pendiente dentro de una transacción</t>
        </is>
      </c>
      <c r="C29" s="25" t="inlineStr">
        <is>
          <t>HU-01</t>
        </is>
      </c>
      <c r="D29" s="25" t="inlineStr">
        <is>
          <t>Iteración 4</t>
        </is>
      </c>
      <c r="E29" s="25" t="inlineStr">
        <is>
          <t>Hecho</t>
        </is>
      </c>
      <c r="F29" s="24" t="inlineStr">
        <is>
          <t>Jeremías Fernández</t>
        </is>
      </c>
    </row>
    <row r="30" ht="15" customHeight="1" s="29">
      <c r="A30" s="24" t="inlineStr">
        <is>
          <t>T-26</t>
        </is>
      </c>
      <c r="B30" s="24" t="inlineStr">
        <is>
          <t>Conservar la ruta de práctica al recargar en la versión web</t>
        </is>
      </c>
      <c r="C30" s="25" t="inlineStr">
        <is>
          <t>HU-02</t>
        </is>
      </c>
      <c r="D30" s="25" t="inlineStr">
        <is>
          <t>Iteración 5</t>
        </is>
      </c>
      <c r="E30" s="25" t="inlineStr">
        <is>
          <t>Hecho</t>
        </is>
      </c>
      <c r="F30" s="24" t="inlineStr">
        <is>
          <t>Sebastián Acevedo</t>
        </is>
      </c>
    </row>
    <row r="31" ht="15" customHeight="1" s="29">
      <c r="A31" s="24" t="inlineStr">
        <is>
          <t>T-27</t>
        </is>
      </c>
      <c r="B31" s="24" t="inlineStr">
        <is>
          <t>Mostrar el formato de cita del enunciado sin el símbolo de marca</t>
        </is>
      </c>
      <c r="C31" s="25" t="inlineStr">
        <is>
          <t>HU-02</t>
        </is>
      </c>
      <c r="D31" s="25" t="inlineStr">
        <is>
          <t>Iteración 4</t>
        </is>
      </c>
      <c r="E31" s="25" t="inlineStr">
        <is>
          <t>Hecho</t>
        </is>
      </c>
      <c r="F31" s="24" t="inlineStr">
        <is>
          <t>Sebastián Acevedo</t>
        </is>
      </c>
    </row>
    <row r="32" ht="15" customHeight="1" s="29">
      <c r="A32" s="24" t="inlineStr">
        <is>
          <t>T-28</t>
        </is>
      </c>
      <c r="B32" s="24" t="inlineStr">
        <is>
          <t>Calcular el tiempo de respuesta desde la entrega registrada por el servidor</t>
        </is>
      </c>
      <c r="C32" s="25" t="inlineStr">
        <is>
          <t>HU-03</t>
        </is>
      </c>
      <c r="D32" s="25" t="inlineStr">
        <is>
          <t>Iteración 4</t>
        </is>
      </c>
      <c r="E32" s="25" t="inlineStr">
        <is>
          <t>Hecho</t>
        </is>
      </c>
      <c r="F32" s="24" t="inlineStr">
        <is>
          <t>Jeremías Fernández</t>
        </is>
      </c>
    </row>
    <row r="33" ht="30" customHeight="1" s="29">
      <c r="A33" s="24" t="inlineStr">
        <is>
          <t>T-29</t>
        </is>
      </c>
      <c r="B33" s="24" t="inlineStr">
        <is>
          <t>Servicio POST /questions/{id}/answer: registrar, descontar cuota, otorgar medalla y liberar la pendiente</t>
        </is>
      </c>
      <c r="C33" s="25" t="inlineStr">
        <is>
          <t>HU-03</t>
        </is>
      </c>
      <c r="D33" s="25" t="inlineStr">
        <is>
          <t>Iteración 4</t>
        </is>
      </c>
      <c r="E33" s="25" t="inlineStr">
        <is>
          <t>Hecho</t>
        </is>
      </c>
      <c r="F33" s="24" t="inlineStr">
        <is>
          <t>Jeremías Fernández</t>
        </is>
      </c>
    </row>
    <row r="34" ht="15" customHeight="1" s="29">
      <c r="A34" s="24" t="inlineStr">
        <is>
          <t>T-30</t>
        </is>
      </c>
      <c r="B34" s="24" t="inlineStr">
        <is>
          <t>Actualizar el histograma de tiempos y calcular el percentil al responder</t>
        </is>
      </c>
      <c r="C34" s="25" t="inlineStr">
        <is>
          <t>HT-04</t>
        </is>
      </c>
      <c r="D34" s="25" t="inlineStr">
        <is>
          <t>Iteración 4</t>
        </is>
      </c>
      <c r="E34" s="25" t="inlineStr">
        <is>
          <t>Hecho</t>
        </is>
      </c>
      <c r="F34" s="24" t="inlineStr">
        <is>
          <t>Jeremías Fernández</t>
        </is>
      </c>
    </row>
    <row r="35" ht="15" customHeight="1" s="29">
      <c r="A35" s="24" t="inlineStr">
        <is>
          <t>T-31</t>
        </is>
      </c>
      <c r="B35" s="24" t="inlineStr">
        <is>
          <t>Construir la pantalla Resultado integrada con el servicio</t>
        </is>
      </c>
      <c r="C35" s="25" t="inlineStr">
        <is>
          <t>HU-04</t>
        </is>
      </c>
      <c r="D35" s="25" t="inlineStr">
        <is>
          <t>Iteración 4</t>
        </is>
      </c>
      <c r="E35" s="25" t="inlineStr">
        <is>
          <t>Hecho</t>
        </is>
      </c>
      <c r="F35" s="24" t="inlineStr">
        <is>
          <t>Sebastián Acevedo</t>
        </is>
      </c>
    </row>
    <row r="36" ht="15" customHeight="1" s="29">
      <c r="A36" s="24" t="inlineStr">
        <is>
          <t>T-32</t>
        </is>
      </c>
      <c r="B36" s="24" t="inlineStr">
        <is>
          <t>Ordenar la práctica en formato facsímil</t>
        </is>
      </c>
      <c r="C36" s="25" t="inlineStr">
        <is>
          <t>HU-12</t>
        </is>
      </c>
      <c r="D36" s="25" t="inlineStr">
        <is>
          <t>Iteración 5</t>
        </is>
      </c>
      <c r="E36" s="25" t="inlineStr">
        <is>
          <t>Hecho</t>
        </is>
      </c>
      <c r="F36" s="24" t="inlineStr">
        <is>
          <t>Jeremías Fernández</t>
        </is>
      </c>
    </row>
    <row r="37" ht="15" customHeight="1" s="29">
      <c r="A37" s="24" t="inlineStr">
        <is>
          <t>T-33</t>
        </is>
      </c>
      <c r="B37" s="24" t="inlineStr">
        <is>
          <t>Dockerfile del backend y docker-compose con el emulador de Firestore</t>
        </is>
      </c>
      <c r="C37" s="25" t="inlineStr">
        <is>
          <t>HT-03</t>
        </is>
      </c>
      <c r="D37" s="25" t="inlineStr">
        <is>
          <t>Iteración 5</t>
        </is>
      </c>
      <c r="E37" s="25" t="inlineStr">
        <is>
          <t>Hecho</t>
        </is>
      </c>
      <c r="F37" s="24" t="inlineStr">
        <is>
          <t>Jeremías Fernández</t>
        </is>
      </c>
    </row>
    <row r="38" ht="15" customHeight="1" s="29">
      <c r="A38" s="24" t="inlineStr">
        <is>
          <t>T-34</t>
        </is>
      </c>
      <c r="B38" s="24" t="inlineStr">
        <is>
          <t>Levantar el proyecto con contenedores siguiendo solo la documentación</t>
        </is>
      </c>
      <c r="C38" s="25" t="inlineStr">
        <is>
          <t>HT-03</t>
        </is>
      </c>
      <c r="D38" s="25" t="inlineStr">
        <is>
          <t>Iteración 5</t>
        </is>
      </c>
      <c r="E38" s="25" t="inlineStr">
        <is>
          <t>Hecho</t>
        </is>
      </c>
      <c r="F38" s="24" t="inlineStr">
        <is>
          <t>Martin Espinoza</t>
        </is>
      </c>
    </row>
    <row r="39" ht="15" customHeight="1" s="29">
      <c r="A39" s="24" t="inlineStr">
        <is>
          <t>T-35</t>
        </is>
      </c>
      <c r="B39" s="24" t="inlineStr">
        <is>
          <t>Diseñar y ejecutar las pruebas de aceptación de la iteración 4</t>
        </is>
      </c>
      <c r="C39" s="25" t="inlineStr">
        <is>
          <t>F1.4</t>
        </is>
      </c>
      <c r="D39" s="25" t="inlineStr">
        <is>
          <t>Iteración 4</t>
        </is>
      </c>
      <c r="E39" s="25" t="inlineStr">
        <is>
          <t>Hecho</t>
        </is>
      </c>
      <c r="F39" s="24" t="inlineStr">
        <is>
          <t>Martin Espinoza</t>
        </is>
      </c>
    </row>
    <row r="40" ht="15" customHeight="1" s="29">
      <c r="A40" s="24" t="inlineStr">
        <is>
          <t>T-36</t>
        </is>
      </c>
      <c r="B40" s="24" t="inlineStr">
        <is>
          <t>Calcular la cuota con base 10 y tope 20, usando qDay del plan como tope</t>
        </is>
      </c>
      <c r="C40" s="25" t="inlineStr">
        <is>
          <t>HU-07</t>
        </is>
      </c>
      <c r="D40" s="25" t="inlineStr">
        <is>
          <t>Iteración 4</t>
        </is>
      </c>
      <c r="E40" s="25" t="inlineStr">
        <is>
          <t>Hecho</t>
        </is>
      </c>
      <c r="F40" s="24" t="inlineStr">
        <is>
          <t>Jeremías Fernández</t>
        </is>
      </c>
    </row>
    <row r="41" ht="15" customHeight="1" s="29">
      <c r="A41" s="24" t="inlineStr">
        <is>
          <t>T-37</t>
        </is>
      </c>
      <c r="B41" s="24" t="inlineStr">
        <is>
          <t>Ampliar la prueba de integridad para detectar explanation en todas las rutas</t>
        </is>
      </c>
      <c r="C41" s="25" t="inlineStr">
        <is>
          <t>F1.4</t>
        </is>
      </c>
      <c r="D41" s="25" t="inlineStr">
        <is>
          <t>Iteración 4</t>
        </is>
      </c>
      <c r="E41" s="25" t="inlineStr">
        <is>
          <t>Hecho</t>
        </is>
      </c>
      <c r="F41" s="24" t="inlineStr">
        <is>
          <t>Jeremías Fernández</t>
        </is>
      </c>
    </row>
    <row r="42" ht="15" customHeight="1" s="29">
      <c r="A42" s="24" t="inlineStr">
        <is>
          <t>T-38</t>
        </is>
      </c>
      <c r="B42" s="24" t="inlineStr">
        <is>
          <t>Exigir mock_mode en el plan para habilitar el formato facsímil</t>
        </is>
      </c>
      <c r="C42" s="25" t="inlineStr">
        <is>
          <t>HU-12</t>
        </is>
      </c>
      <c r="D42" s="25" t="inlineStr">
        <is>
          <t>Iteración 5</t>
        </is>
      </c>
      <c r="E42" s="25" t="inlineStr">
        <is>
          <t>Hecho</t>
        </is>
      </c>
      <c r="F42" s="24" t="inlineStr">
        <is>
          <t>Jeremías Fernández</t>
        </is>
      </c>
    </row>
    <row r="43" ht="15" customHeight="1" s="29">
      <c r="A43" s="24" t="inlineStr">
        <is>
          <t>T-39</t>
        </is>
      </c>
      <c r="B43" s="24" t="inlineStr">
        <is>
          <t>Diseñar y ejecutar las pruebas de aceptación de la iteración 5</t>
        </is>
      </c>
      <c r="C43" s="25" t="inlineStr">
        <is>
          <t>F1.4</t>
        </is>
      </c>
      <c r="D43" s="25" t="inlineStr">
        <is>
          <t>Iteración 5</t>
        </is>
      </c>
      <c r="E43" s="25" t="inlineStr">
        <is>
          <t>Hecho</t>
        </is>
      </c>
      <c r="F43" s="24" t="inlineStr">
        <is>
          <t>Martin Espinoza</t>
        </is>
      </c>
    </row>
    <row r="44" ht="30" customHeight="1" s="29">
      <c r="A44" s="24" t="inlineStr">
        <is>
          <t>T-40</t>
        </is>
      </c>
      <c r="B44" s="24" t="inlineStr">
        <is>
          <t>Servicio GET /questions/{id}/explanation con la explicación estructurada, solo para preguntas ya respondidas</t>
        </is>
      </c>
      <c r="C44" s="25" t="inlineStr">
        <is>
          <t>HU-05</t>
        </is>
      </c>
      <c r="D44" s="25" t="inlineStr">
        <is>
          <t>Iteración 5</t>
        </is>
      </c>
      <c r="E44" s="25" t="inlineStr">
        <is>
          <t>Hecho</t>
        </is>
      </c>
      <c r="F44" s="24" t="inlineStr">
        <is>
          <t>Jeremías Fernández</t>
        </is>
      </c>
    </row>
    <row r="45" ht="15" customHeight="1" s="29">
      <c r="A45" s="24" t="inlineStr">
        <is>
          <t>T-41</t>
        </is>
      </c>
      <c r="B45" s="24" t="inlineStr">
        <is>
          <t>Construir la pantalla Explicación detallada integrada con el servicio</t>
        </is>
      </c>
      <c r="C45" s="25" t="inlineStr">
        <is>
          <t>HU-05</t>
        </is>
      </c>
      <c r="D45" s="25" t="inlineStr">
        <is>
          <t>Iteración 5</t>
        </is>
      </c>
      <c r="E45" s="25" t="inlineStr">
        <is>
          <t>Hecho</t>
        </is>
      </c>
      <c r="F45" s="24" t="inlineStr">
        <is>
          <t>Sebastián Acevedo</t>
        </is>
      </c>
    </row>
    <row r="46" ht="30" customHeight="1" s="29">
      <c r="A46" s="24" t="inlineStr">
        <is>
          <t>T-42</t>
        </is>
      </c>
      <c r="B46" s="24" t="inlineStr">
        <is>
          <t>Corregir el contenido de tres preguntas del banco de demostración (H-12 a H-14)</t>
        </is>
      </c>
      <c r="C46" s="25" t="inlineStr">
        <is>
          <t>HU-20</t>
        </is>
      </c>
      <c r="D46" s="25" t="inlineStr">
        <is>
          <t>Iteración 6</t>
        </is>
      </c>
      <c r="E46" s="25" t="inlineStr">
        <is>
          <t>Hecho</t>
        </is>
      </c>
      <c r="F46" s="24" t="inlineStr">
        <is>
          <t>Jeremías Fernández</t>
        </is>
      </c>
    </row>
    <row r="47" ht="30" customHeight="1" s="29">
      <c r="A47" s="24" t="inlineStr">
        <is>
          <t>T-43</t>
        </is>
      </c>
      <c r="B47" s="24" t="inlineStr">
        <is>
          <t>Recuperar la pantalla Resultado al recargar (H-15, H-25); el retorno desde la explicación (H-16) quedó resuelto en la iteración 6</t>
        </is>
      </c>
      <c r="C47" s="25" t="inlineStr">
        <is>
          <t>HU-04</t>
        </is>
      </c>
      <c r="D47" s="25" t="inlineStr">
        <is>
          <t>Iteración 7</t>
        </is>
      </c>
      <c r="E47" s="25" t="inlineStr">
        <is>
          <t>Hecho</t>
        </is>
      </c>
      <c r="F47" s="24" t="inlineStr">
        <is>
          <t>Sebastián Acevedo</t>
        </is>
      </c>
    </row>
    <row r="48" ht="15" customHeight="1" s="29">
      <c r="A48" s="24" t="inlineStr">
        <is>
          <t>T-44</t>
        </is>
      </c>
      <c r="B48" s="24" t="inlineStr">
        <is>
          <t>Volver a marcar el formato guardado cuando la API rechaza el cambio (H-18)</t>
        </is>
      </c>
      <c r="C48" s="25" t="inlineStr">
        <is>
          <t>HU-12</t>
        </is>
      </c>
      <c r="D48" s="25" t="inlineStr">
        <is>
          <t>Iteración 6</t>
        </is>
      </c>
      <c r="E48" s="25" t="inlineStr">
        <is>
          <t>Hecho</t>
        </is>
      </c>
      <c r="F48" s="24" t="inlineStr">
        <is>
          <t>Sebastián Acevedo</t>
        </is>
      </c>
    </row>
    <row r="49" ht="30" customHeight="1" s="29">
      <c r="A49" s="24" t="inlineStr">
        <is>
          <t>T-45</t>
        </is>
      </c>
      <c r="B49" s="24" t="inlineStr">
        <is>
          <t>Mostrar "Disponible próximamente" en la habilidad y la recorrección mientras no existan sus servicios (H-19)</t>
        </is>
      </c>
      <c r="C49" s="25" t="inlineStr">
        <is>
          <t>HU-05</t>
        </is>
      </c>
      <c r="D49" s="25" t="inlineStr">
        <is>
          <t>Iteración 6</t>
        </is>
      </c>
      <c r="E49" s="25" t="inlineStr">
        <is>
          <t>Hecho</t>
        </is>
      </c>
      <c r="F49" s="24" t="inlineStr">
        <is>
          <t>Sebastián Acevedo</t>
        </is>
      </c>
    </row>
    <row r="50" ht="30" customHeight="1" s="29">
      <c r="A50" s="24" t="inlineStr">
        <is>
          <t>T-46</t>
        </is>
      </c>
      <c r="B50" s="24" t="inlineStr">
        <is>
          <t>Servicio GET /questions/{id}/skill con la habilidad, el dominio del alumno, los prerrequisitos y los recursos</t>
        </is>
      </c>
      <c r="C50" s="25" t="inlineStr">
        <is>
          <t>HU-06</t>
        </is>
      </c>
      <c r="D50" s="25" t="inlineStr">
        <is>
          <t>Iteración 6</t>
        </is>
      </c>
      <c r="E50" s="25" t="inlineStr">
        <is>
          <t>Hecho</t>
        </is>
      </c>
      <c r="F50" s="24" t="inlineStr">
        <is>
          <t>Jeremías Fernández</t>
        </is>
      </c>
    </row>
    <row r="51" ht="15" customHeight="1" s="29">
      <c r="A51" s="24" t="inlineStr">
        <is>
          <t>T-47</t>
        </is>
      </c>
      <c r="B51" s="24" t="inlineStr">
        <is>
          <t>Construir la pantalla Habilidad evaluada integrada con el servicio</t>
        </is>
      </c>
      <c r="C51" s="25" t="inlineStr">
        <is>
          <t>HU-06</t>
        </is>
      </c>
      <c r="D51" s="25" t="inlineStr">
        <is>
          <t>Iteración 6</t>
        </is>
      </c>
      <c r="E51" s="25" t="inlineStr">
        <is>
          <t>Hecho</t>
        </is>
      </c>
      <c r="F51" s="24" t="inlineStr">
        <is>
          <t>Sebastián Acevedo</t>
        </is>
      </c>
    </row>
    <row r="52" ht="15" customHeight="1" s="29">
      <c r="A52" s="24" t="inlineStr">
        <is>
          <t>T-48</t>
        </is>
      </c>
      <c r="B52" s="24" t="inlineStr">
        <is>
          <t>Diseñar y ejecutar las pruebas de aceptación de la iteración 6</t>
        </is>
      </c>
      <c r="C52" s="25" t="inlineStr">
        <is>
          <t>F1.4</t>
        </is>
      </c>
      <c r="D52" s="25" t="inlineStr">
        <is>
          <t>Iteración 6</t>
        </is>
      </c>
      <c r="E52" s="25" t="inlineStr">
        <is>
          <t>Hecho</t>
        </is>
      </c>
      <c r="F52" s="24" t="inlineStr">
        <is>
          <t>Martin Espinoza</t>
        </is>
      </c>
    </row>
    <row r="53" ht="30" customHeight="1" s="29">
      <c r="A53" s="24" t="inlineStr">
        <is>
          <t>T-49</t>
        </is>
      </c>
      <c r="B53" s="24" t="inlineStr">
        <is>
          <t>Renovar la hora de entrega de una pregunta pendiente de un día anterior y limitar a cinco minutos el tiempo registrado (H-22)</t>
        </is>
      </c>
      <c r="C53" s="25" t="inlineStr">
        <is>
          <t>HU-03</t>
        </is>
      </c>
      <c r="D53" s="25" t="inlineStr">
        <is>
          <t>Iteración 6</t>
        </is>
      </c>
      <c r="E53" s="25" t="inlineStr">
        <is>
          <t>Hecho</t>
        </is>
      </c>
      <c r="F53" s="24" t="inlineStr">
        <is>
          <t>Jeremías Fernández</t>
        </is>
      </c>
    </row>
    <row r="54" ht="30" customHeight="1" s="29">
      <c r="A54" s="24" t="inlineStr">
        <is>
          <t>T-50</t>
        </is>
      </c>
      <c r="B54" s="24" t="inlineStr">
        <is>
          <t>Elegir la prueba de la pregunta nueva con testId en GET /practice/next y en el selector de materia de la aplicación, a pedido de la contraparte</t>
        </is>
      </c>
      <c r="C54" s="25" t="inlineStr">
        <is>
          <t>HU-01</t>
        </is>
      </c>
      <c r="D54" s="25" t="inlineStr">
        <is>
          <t>Iteración 6</t>
        </is>
      </c>
      <c r="E54" s="25" t="inlineStr">
        <is>
          <t>Hecho</t>
        </is>
      </c>
      <c r="F54" s="24" t="inlineStr">
        <is>
          <t>Jeremías / Sebastián</t>
        </is>
      </c>
    </row>
    <row r="55" ht="30" customHeight="1" s="29">
      <c r="A55" s="24" t="inlineStr">
        <is>
          <t>T-51</t>
        </is>
      </c>
      <c r="B55" s="24" t="inlineStr">
        <is>
          <t>Alinear con el contrato de la API el estado de la respuesta, los identificadores de habilidades y los errores 405 y 413</t>
        </is>
      </c>
      <c r="C55" s="25" t="inlineStr">
        <is>
          <t>F1.4</t>
        </is>
      </c>
      <c r="D55" s="25" t="inlineStr">
        <is>
          <t>Iteración 6</t>
        </is>
      </c>
      <c r="E55" s="25" t="inlineStr">
        <is>
          <t>Hecho</t>
        </is>
      </c>
      <c r="F55" s="24" t="inlineStr">
        <is>
          <t>Jeremías Fernández</t>
        </is>
      </c>
    </row>
    <row r="56" ht="45" customHeight="1" s="29">
      <c r="A56" s="24" t="inlineStr">
        <is>
          <t>T-52</t>
        </is>
      </c>
      <c r="B56" s="24" t="inlineStr">
        <is>
          <t>Entregar en GET /questions/{id} las preguntas compartidas en grupos y comunidad, sin la respuesta hasta que el alumno responda y descontando cuota al responder (regla acordada con la contraparte el 21/10/2026)</t>
        </is>
      </c>
      <c r="C56" s="25" t="inlineStr">
        <is>
          <t>HU-01</t>
        </is>
      </c>
      <c r="D56" s="25" t="inlineStr">
        <is>
          <t>Por planificar</t>
        </is>
      </c>
      <c r="E56" s="25" t="inlineStr">
        <is>
          <t>Pendiente</t>
        </is>
      </c>
      <c r="F56" s="24" t="inlineStr">
        <is>
          <t>Jeremías Fernández</t>
        </is>
      </c>
    </row>
    <row r="57" ht="30" customHeight="1" s="29">
      <c r="A57" s="24" t="inlineStr">
        <is>
          <t>T-53</t>
        </is>
      </c>
      <c r="B57" s="24" t="inlineStr">
        <is>
          <t>Aislar por sesión las operaciones de práctica y revalidar la pendiente sin testId (P1 y P2 de la revisión del PR #54)</t>
        </is>
      </c>
      <c r="C57" s="25" t="inlineStr">
        <is>
          <t>HU-03</t>
        </is>
      </c>
      <c r="D57" s="25" t="inlineStr">
        <is>
          <t>Iteración 6</t>
        </is>
      </c>
      <c r="E57" s="25" t="inlineStr">
        <is>
          <t>Hecho</t>
        </is>
      </c>
      <c r="F57" s="24" t="inlineStr">
        <is>
          <t>Sebastián Acevedo</t>
        </is>
      </c>
    </row>
    <row r="58" ht="15" customHeight="1" s="29">
      <c r="A58" s="24" t="inlineStr">
        <is>
          <t>T-54</t>
        </is>
      </c>
      <c r="B58" s="24" t="inlineStr">
        <is>
          <t>Retirar el campo Edad del formulario de desbloqueo (H-10)</t>
        </is>
      </c>
      <c r="C58" s="25" t="inlineStr">
        <is>
          <t>HU-08</t>
        </is>
      </c>
      <c r="D58" s="25" t="inlineStr">
        <is>
          <t>Iteración 6</t>
        </is>
      </c>
      <c r="E58" s="25" t="inlineStr">
        <is>
          <t>Hecho</t>
        </is>
      </c>
      <c r="F58" s="24" t="inlineStr">
        <is>
          <t>Sebastián Acevedo</t>
        </is>
      </c>
    </row>
    <row r="59" ht="15" customHeight="1" s="29">
      <c r="A59" s="24" t="inlineStr">
        <is>
          <t>T-55</t>
        </is>
      </c>
      <c r="B59" s="24" t="inlineStr">
        <is>
          <t>Agregar el botón de inicio en las pantallas del módulo</t>
        </is>
      </c>
      <c r="C59" s="25" t="inlineStr">
        <is>
          <t>HU-02</t>
        </is>
      </c>
      <c r="D59" s="25" t="inlineStr">
        <is>
          <t>Iteración 6</t>
        </is>
      </c>
      <c r="E59" s="25" t="inlineStr">
        <is>
          <t>Hecho</t>
        </is>
      </c>
      <c r="F59" s="24" t="inlineStr">
        <is>
          <t>Sebastián Acevedo</t>
        </is>
      </c>
    </row>
    <row r="60" ht="15" customHeight="1" s="29">
      <c r="A60" s="24" t="inlineStr">
        <is>
          <t>T-56</t>
        </is>
      </c>
      <c r="B60" s="24" t="inlineStr">
        <is>
          <t>Agregar en Habilidad evaluada el botón Volver hacia la explicación (H-26)</t>
        </is>
      </c>
      <c r="C60" s="25" t="inlineStr">
        <is>
          <t>HU-06</t>
        </is>
      </c>
      <c r="D60" s="25" t="inlineStr">
        <is>
          <t>Iteración 7</t>
        </is>
      </c>
      <c r="E60" s="25" t="inlineStr">
        <is>
          <t>Hecho</t>
        </is>
      </c>
      <c r="F60" s="24" t="inlineStr">
        <is>
          <t>Sebastián Acevedo</t>
        </is>
      </c>
    </row>
    <row r="61" ht="15" customHeight="1" s="29">
      <c r="A61" s="24" t="inlineStr">
        <is>
          <t>T-57</t>
        </is>
      </c>
      <c r="B61" s="24" t="inlineStr">
        <is>
          <t>Mostrar en español los estados de la ruta de aprendizaje (H-27)</t>
        </is>
      </c>
      <c r="C61" s="25" t="inlineStr">
        <is>
          <t>HU-06</t>
        </is>
      </c>
      <c r="D61" s="25" t="inlineStr">
        <is>
          <t>Iteración 7</t>
        </is>
      </c>
      <c r="E61" s="25" t="inlineStr">
        <is>
          <t>Hecho</t>
        </is>
      </c>
      <c r="F61" s="24" t="inlineStr">
        <is>
          <t>Sebastián Acevedo</t>
        </is>
      </c>
    </row>
    <row r="62" ht="30" customHeight="1" s="29">
      <c r="A62" s="24" t="inlineStr">
        <is>
          <t>T-58</t>
        </is>
      </c>
      <c r="B62" s="24" t="inlineStr">
        <is>
          <t>Corregir el enlace o el tipo del recurso de DEMRE en el banco de demostración (H-28)</t>
        </is>
      </c>
      <c r="C62" s="25" t="inlineStr">
        <is>
          <t>HU-06</t>
        </is>
      </c>
      <c r="D62" s="25" t="inlineStr">
        <is>
          <t>Iteración 7</t>
        </is>
      </c>
      <c r="E62" s="25" t="inlineStr">
        <is>
          <t>Hecho</t>
        </is>
      </c>
      <c r="F62" s="24" t="inlineStr">
        <is>
          <t>Jeremías Fernández</t>
        </is>
      </c>
    </row>
    <row r="63" ht="30" customHeight="1" s="29">
      <c r="A63" s="24" t="inlineStr">
        <is>
          <t>T-59</t>
        </is>
      </c>
      <c r="B63" s="24" t="inlineStr">
        <is>
          <t>Mostrar directamente la pantalla de desbloqueo cuando la cuota está agotada (H-29)</t>
        </is>
      </c>
      <c r="C63" s="25" t="inlineStr">
        <is>
          <t>HU-08</t>
        </is>
      </c>
      <c r="D63" s="25" t="inlineStr">
        <is>
          <t>Iteración 7</t>
        </is>
      </c>
      <c r="E63" s="25" t="inlineStr">
        <is>
          <t>Hecho</t>
        </is>
      </c>
      <c r="F63" s="24" t="inlineStr">
        <is>
          <t>Sebastián Acevedo</t>
        </is>
      </c>
    </row>
    <row r="64" ht="15" customHeight="1" s="29">
      <c r="A64" s="24" t="inlineStr">
        <is>
          <t>T-60</t>
        </is>
      </c>
      <c r="B64" s="24" t="inlineStr">
        <is>
          <t>Diseñar y ejecutar las pruebas de aceptación de la iteración 7</t>
        </is>
      </c>
      <c r="C64" s="25" t="inlineStr">
        <is>
          <t>F1.4</t>
        </is>
      </c>
      <c r="D64" s="25" t="inlineStr">
        <is>
          <t>Iteración 7</t>
        </is>
      </c>
      <c r="E64" s="25" t="inlineStr">
        <is>
          <t>Hecho</t>
        </is>
      </c>
      <c r="F64" s="24" t="inlineStr">
        <is>
          <t>Martin Espinoza</t>
        </is>
      </c>
    </row>
    <row r="65" ht="30" customHeight="1" s="29">
      <c r="A65" s="24" t="inlineStr">
        <is>
          <t>T-61</t>
        </is>
      </c>
      <c r="B65" s="24" t="inlineStr">
        <is>
          <t>Servicio GET /me/quota con la cuota usada, el máximo, los bonos y el reinicio diario</t>
        </is>
      </c>
      <c r="C65" s="25" t="inlineStr">
        <is>
          <t>HU-07</t>
        </is>
      </c>
      <c r="D65" s="25" t="inlineStr">
        <is>
          <t>Iteración 7</t>
        </is>
      </c>
      <c r="E65" s="25" t="inlineStr">
        <is>
          <t>Hecho</t>
        </is>
      </c>
      <c r="F65" s="24" t="inlineStr">
        <is>
          <t>Jeremías Fernández</t>
        </is>
      </c>
    </row>
    <row r="66" ht="30" customHeight="1" s="29">
      <c r="A66" s="24" t="inlineStr">
        <is>
          <t>T-62</t>
        </is>
      </c>
      <c r="B66" s="24" t="inlineStr">
        <is>
          <t>Servicio POST /me/quota/unlock con los bonos de colegio y región, el tope de 20 y la medalla de bronce</t>
        </is>
      </c>
      <c r="C66" s="25" t="inlineStr">
        <is>
          <t>HU-08</t>
        </is>
      </c>
      <c r="D66" s="25" t="inlineStr">
        <is>
          <t>Iteración 7</t>
        </is>
      </c>
      <c r="E66" s="25" t="inlineStr">
        <is>
          <t>Hecho</t>
        </is>
      </c>
      <c r="F66" s="24" t="inlineStr">
        <is>
          <t>Jeremías Fernández</t>
        </is>
      </c>
    </row>
    <row r="67" ht="30" customHeight="1" s="29">
      <c r="A67" s="24" t="inlineStr">
        <is>
          <t>T-63</t>
        </is>
      </c>
      <c r="B67" s="24" t="inlineStr">
        <is>
          <t>Mostrar la cuota diaria en Inicio y en la pantalla de desbloqueo con GET /me/quota</t>
        </is>
      </c>
      <c r="C67" s="25" t="inlineStr">
        <is>
          <t>HU-07</t>
        </is>
      </c>
      <c r="D67" s="25" t="inlineStr">
        <is>
          <t>Iteración 7</t>
        </is>
      </c>
      <c r="E67" s="25" t="inlineStr">
        <is>
          <t>Hecho</t>
        </is>
      </c>
      <c r="F67" s="24" t="inlineStr">
        <is>
          <t>Sebastián Acevedo</t>
        </is>
      </c>
    </row>
    <row r="68" ht="30" customHeight="1" s="29">
      <c r="A68" s="24" t="inlineStr">
        <is>
          <t>T-64</t>
        </is>
      </c>
      <c r="B68" s="24" t="inlineStr">
        <is>
          <t>Integrar la pantalla de desbloqueo con los dos bonos, las 16 regiones y la medalla obtenida</t>
        </is>
      </c>
      <c r="C68" s="25" t="inlineStr">
        <is>
          <t>HU-08</t>
        </is>
      </c>
      <c r="D68" s="25" t="inlineStr">
        <is>
          <t>Iteración 7</t>
        </is>
      </c>
      <c r="E68" s="25" t="inlineStr">
        <is>
          <t>Hecho</t>
        </is>
      </c>
      <c r="F68" s="24" t="inlineStr">
        <is>
          <t>Sebastián Acevedo</t>
        </is>
      </c>
    </row>
    <row r="69" ht="30" customHeight="1" s="29">
      <c r="A69" s="24" t="inlineStr">
        <is>
          <t>T-65</t>
        </is>
      </c>
      <c r="B69" s="24" t="inlineStr">
        <is>
          <t>Mostrar "+5 región" y ocultar el detalle de la cuota con plan ilimitado en Inicio (H-31)</t>
        </is>
      </c>
      <c r="C69" s="25" t="inlineStr">
        <is>
          <t>HU-07</t>
        </is>
      </c>
      <c r="D69" s="25" t="inlineStr">
        <is>
          <t>Iteración 7</t>
        </is>
      </c>
      <c r="E69" s="25" t="inlineStr">
        <is>
          <t>Hecho</t>
        </is>
      </c>
      <c r="F69" s="24" t="inlineStr">
        <is>
          <t>Sebastián Acevedo</t>
        </is>
      </c>
    </row>
    <row r="70" ht="30" customHeight="1" s="29">
      <c r="A70" s="24" t="inlineStr">
        <is>
          <t>T-66</t>
        </is>
      </c>
      <c r="B70" s="24" t="inlineStr">
        <is>
          <t>Actualizar las medallas de Inicio al responder o reclamar un bono, sin recargar (H-32)</t>
        </is>
      </c>
      <c r="C70" s="25" t="inlineStr">
        <is>
          <t>HU-08</t>
        </is>
      </c>
      <c r="D70" s="25" t="inlineStr">
        <is>
          <t>Iteración 7</t>
        </is>
      </c>
      <c r="E70" s="25" t="inlineStr">
        <is>
          <t>Hecho</t>
        </is>
      </c>
      <c r="F70" s="24" t="inlineStr">
        <is>
          <t>Sebastián Acevedo</t>
        </is>
      </c>
    </row>
    <row r="71" ht="30" customHeight="1" s="29">
      <c r="A71" s="24" t="inlineStr">
        <is>
          <t>T-67</t>
        </is>
      </c>
      <c r="B71" s="24" t="inlineStr">
        <is>
          <t>Esperar la sesión sincronizada antes de cargar el perfil después del inicio de sesión (H-34)</t>
        </is>
      </c>
      <c r="C71" s="25" t="inlineStr">
        <is>
          <t>HU-16</t>
        </is>
      </c>
      <c r="D71" s="25" t="inlineStr">
        <is>
          <t>Iteración 7</t>
        </is>
      </c>
      <c r="E71" s="25" t="inlineStr">
        <is>
          <t>Hecho</t>
        </is>
      </c>
      <c r="F71" s="24" t="inlineStr">
        <is>
          <t>Sebastián Acevedo</t>
        </is>
      </c>
    </row>
    <row r="72" ht="30" customHeight="1" s="29">
      <c r="A72" s="24" t="inlineStr">
        <is>
          <t>T-68</t>
        </is>
      </c>
      <c r="B72" s="24" t="inlineStr">
        <is>
          <t>Separar por usuario la caché de preferencias de materia al cambiar de cuenta (H-33)</t>
        </is>
      </c>
      <c r="C72" s="25" t="inlineStr">
        <is>
          <t>HU-11</t>
        </is>
      </c>
      <c r="D72" s="25" t="inlineStr">
        <is>
          <t>Iteración 8</t>
        </is>
      </c>
      <c r="E72" s="25" t="inlineStr">
        <is>
          <t>Hecho</t>
        </is>
      </c>
      <c r="F72" s="24" t="inlineStr">
        <is>
          <t>Sebastián Acevedo</t>
        </is>
      </c>
    </row>
    <row r="73" ht="45" customHeight="1" s="29">
      <c r="A73" s="24" t="inlineStr">
        <is>
          <t>T-69</t>
        </is>
      </c>
      <c r="B73" s="24" t="inlineStr">
        <is>
          <t>Servicio POST /corrections con el motivo, la alternativa propuesta obligatoria si el motivo es la respuesta, el comentario opcional, la recompensa posible y una sola solicitud abierta por pregunta</t>
        </is>
      </c>
      <c r="C73" s="25" t="inlineStr">
        <is>
          <t>HU-09</t>
        </is>
      </c>
      <c r="D73" s="25" t="inlineStr">
        <is>
          <t>Iteración 8</t>
        </is>
      </c>
      <c r="E73" s="25" t="inlineStr">
        <is>
          <t>Hecho</t>
        </is>
      </c>
      <c r="F73" s="24" t="inlineStr">
        <is>
          <t>Jeremías Fernández</t>
        </is>
      </c>
    </row>
    <row r="74" ht="30" customHeight="1" s="29">
      <c r="A74" s="24" t="inlineStr">
        <is>
          <t>T-70</t>
        </is>
      </c>
      <c r="B74" s="24" t="inlineStr">
        <is>
          <t>Servicio GET /corrections con las solicitudes del alumno, paginado por cursor y sin notas internas</t>
        </is>
      </c>
      <c r="C74" s="25" t="inlineStr">
        <is>
          <t>HU-10</t>
        </is>
      </c>
      <c r="D74" s="25" t="inlineStr">
        <is>
          <t>Iteración 8</t>
        </is>
      </c>
      <c r="E74" s="25" t="inlineStr">
        <is>
          <t>Hecho</t>
        </is>
      </c>
      <c r="F74" s="24" t="inlineStr">
        <is>
          <t>Jeremías Fernández</t>
        </is>
      </c>
    </row>
    <row r="75" ht="30" customHeight="1" s="29">
      <c r="A75" s="24" t="inlineStr">
        <is>
          <t>T-71</t>
        </is>
      </c>
      <c r="B75" s="24" t="inlineStr">
        <is>
          <t>Formulario Solicitar revisión desde Explicación, sin motivo preseleccionado (H-20), con la alternativa propuesta y la confirmación de la recompensa posible</t>
        </is>
      </c>
      <c r="C75" s="25" t="inlineStr">
        <is>
          <t>HU-09</t>
        </is>
      </c>
      <c r="D75" s="25" t="inlineStr">
        <is>
          <t>Iteración 8</t>
        </is>
      </c>
      <c r="E75" s="25" t="inlineStr">
        <is>
          <t>Hecho</t>
        </is>
      </c>
      <c r="F75" s="24" t="inlineStr">
        <is>
          <t>Sebastián Acevedo</t>
        </is>
      </c>
    </row>
    <row r="76" ht="30" customHeight="1" s="29">
      <c r="A76" s="24" t="inlineStr">
        <is>
          <t>T-72</t>
        </is>
      </c>
      <c r="B76" s="24" t="inlineStr">
        <is>
          <t>Pantalla Mis recorrecciones con el estado, la fecha y la recompensa de cada solicitud, la paginación y el reintento ante errores</t>
        </is>
      </c>
      <c r="C76" s="25" t="inlineStr">
        <is>
          <t>HU-10</t>
        </is>
      </c>
      <c r="D76" s="25" t="inlineStr">
        <is>
          <t>Iteración 8</t>
        </is>
      </c>
      <c r="E76" s="25" t="inlineStr">
        <is>
          <t>Hecho</t>
        </is>
      </c>
      <c r="F76" s="24" t="inlineStr">
        <is>
          <t>Sebastián Acevedo</t>
        </is>
      </c>
    </row>
    <row r="77" ht="15" customHeight="1" s="29">
      <c r="A77" s="24" t="inlineStr">
        <is>
          <t>T-73</t>
        </is>
      </c>
      <c r="B77" s="24" t="inlineStr">
        <is>
          <t>Diseñar y ejecutar las pruebas de aceptación de la iteración 8</t>
        </is>
      </c>
      <c r="C77" s="25" t="inlineStr">
        <is>
          <t>F1.4</t>
        </is>
      </c>
      <c r="D77" s="25" t="inlineStr">
        <is>
          <t>Iteración 8</t>
        </is>
      </c>
      <c r="E77" s="25" t="inlineStr">
        <is>
          <t>Hecho</t>
        </is>
      </c>
      <c r="F77" s="24" t="inlineStr">
        <is>
          <t>Martin Espinoza</t>
        </is>
      </c>
    </row>
    <row r="78" ht="30" customHeight="1" s="29">
      <c r="A78" s="24" t="inlineStr">
        <is>
          <t>T-74</t>
        </is>
      </c>
      <c r="B78" s="24" t="inlineStr">
        <is>
          <t>Mostrar el enunciado de la pregunta en lugar de los identificadores internos en la recorrección (H-35)</t>
        </is>
      </c>
      <c r="C78" s="25" t="inlineStr">
        <is>
          <t>HU-09</t>
        </is>
      </c>
      <c r="D78" s="25" t="inlineStr">
        <is>
          <t>Por planificar</t>
        </is>
      </c>
      <c r="E78" s="25" t="inlineStr">
        <is>
          <t>Pendiente</t>
        </is>
      </c>
      <c r="F78" s="24" t="inlineStr">
        <is>
          <t>Sebastián Acevedo</t>
        </is>
      </c>
    </row>
  </sheetData>
  <autoFilter ref="A4:F78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1009"/>
  <sheetViews>
    <sheetView workbookViewId="0">
      <selection activeCell="A1" sqref="A1"/>
    </sheetView>
  </sheetViews>
  <sheetFormatPr baseColWidth="8" defaultColWidth="14.43" defaultRowHeight="15" customHeight="1"/>
  <cols>
    <col width="110" customWidth="1" style="29" min="1" max="1"/>
    <col width="8.710000000000001" customWidth="1" style="29" min="2" max="8"/>
  </cols>
  <sheetData>
    <row r="1" ht="17.25" customHeight="1" s="29">
      <c r="A1" s="1" t="inlineStr">
        <is>
          <t>Notas del Product Backlog</t>
        </is>
      </c>
      <c r="B1" s="4" t="n"/>
      <c r="C1" s="3" t="n"/>
      <c r="D1" s="3" t="n"/>
      <c r="E1" s="3" t="n"/>
      <c r="F1" s="3" t="n"/>
      <c r="G1" s="3" t="n"/>
      <c r="H1" s="8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" customHeight="1" s="29">
      <c r="A2" s="2" t="n"/>
      <c r="B2" s="4" t="n"/>
      <c r="C2" s="3" t="n"/>
      <c r="D2" s="3" t="n"/>
      <c r="E2" s="3" t="n"/>
      <c r="F2" s="3" t="n"/>
      <c r="G2" s="3" t="n"/>
      <c r="H2" s="8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" customHeight="1" s="29">
      <c r="A3" s="12" t="inlineStr">
        <is>
          <t>Estructura</t>
        </is>
      </c>
      <c r="B3" s="4" t="n"/>
      <c r="C3" s="3" t="n"/>
      <c r="D3" s="3" t="n"/>
      <c r="E3" s="3" t="n"/>
      <c r="F3" s="3" t="n"/>
      <c r="G3" s="3" t="n"/>
      <c r="H3" s="8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45" customHeight="1" s="29">
      <c r="A4" s="14" t="inlineStr">
        <is>
          <t>El Product Backlog es la lista completa del producto. Se organiza en cuatro niveles: épicas, que agrupan grandes capacidades; características, que dividen cada épica; historias de usuario, que describen el valor para el estudiante; y tareas, que detallan el trabajo técnico de cada historia.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29">
      <c r="A6" s="12" t="inlineStr">
        <is>
          <t>Historias técnicas y restricciones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45" customHeight="1" s="29">
      <c r="A7" s="14" t="inlineStr">
        <is>
          <t>Las historias técnicas describen habilitadores que no entregan valor directo al estudiante, pero son necesarios para el producto. Las restricciones técnicas no son historias: atraviesan todo el desarrollo y se verifican en cada iteración mediante los criterios de terminado.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" customHeight="1" s="29">
      <c r="A9" s="12" t="inlineStr">
        <is>
          <t>Priorización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45" customHeight="1" s="29">
      <c r="A10" s="14" t="inlineStr">
        <is>
          <t>En Extreme Programming el cliente prioriza por valor y el equipo estima el costo. No se utiliza MoSCoW porque todas las historias corresponden a alcance comprometido.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2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" customHeight="1" s="29">
      <c r="A12" s="12" t="inlineStr">
        <is>
          <t>Estimación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45" customHeight="1" s="29">
      <c r="A13" s="14" t="inlineStr">
        <is>
          <t>Estimación inicial en puntos de historia, escala 1, 2, 3, 5 y 8. Se ajusta en el juego de planificación al inicio de cada iteración.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2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" customHeight="1" s="29">
      <c r="A15" s="12" t="inlineStr">
        <is>
          <t>Tareas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45" customHeight="1" s="29">
      <c r="A16" s="14" t="inlineStr">
        <is>
          <t>Las tareas se detallan al inicio de cada iteración en su plan de iteración y se registran también en este Product Backlog, bajo la historia a la que pertenecen. Las tareas que nacen de un hallazgo quedan por planificar hasta que el juego de planificación les asigna una iteración.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" customHeight="1" s="29">
      <c r="A18" s="12" t="inlineStr">
        <is>
          <t>Cambios de la versión 2.10</t>
        </is>
      </c>
    </row>
    <row r="19" ht="251.79609375" customHeight="1" s="29">
      <c r="A19" s="14" t="inlineStr">
        <is>
          <t>Cierre de la iteración 8, con la prueba de aceptación T-73 del 29/10/2026 (17 de 17 pasos aprobados, sin fallas). HU-09 y HU-10 quedan terminadas: 7 puntos de 7 comprometidos; el proyecto acumula 75 puntos y 21 historias. Se registran las tareas de la iteración: T-69 y T-70 (servicios POST y GET /corrections, PR #67 y #68), T-71 y T-72 (formulario y pantalla Mis recorrecciones, PR #72, con las correcciones P1 y P2 de la revisión técnica) y T-73 (aceptación). T-68 queda terminada (PR #71) y H-33 resuelto; H-20 queda resuelto con T-71. La observación H-35 pasa a T-74, por planificar. Se agrega HU-23 (alternativas en orden aleatorio, 3 puntos), pedida por la contraparte el 28/10/2026 para mostrarse en la iteración 9; el total pasa a 94 puntos y 25 historias, y la iteración 9 queda con 14 puntos, sobre la velocidad registrada, por lo que su alcance se ajusta en el juego de planificación. Se corrige la tilde de "técnicos" en la épica E1.</t>
        </is>
      </c>
    </row>
    <row r="20" s="29"/>
    <row r="21" ht="15" customHeight="1" s="29">
      <c r="A21" s="12" t="inlineStr">
        <is>
          <t>Cambios de la versión 2.9</t>
        </is>
      </c>
    </row>
    <row r="22" ht="218.953125" customHeight="1" s="29">
      <c r="A22" s="14" t="inlineStr">
        <is>
          <t>Cierre de la iteración 7, con la prueba de aceptación T-60 del 22/10/2026 (24 pasos: 21 aprobados, una falla y dos observaciones) y su verificación final del 22 y el 23/10/2026. HU-07 y HU-08 quedan terminadas: 7 puntos de 7 comprometidos; el proyecto acumula 68 de 91 puntos y 19 de 24 historias. Quedan terminadas T-43 y T-56 a T-59, las tareas de los hallazgos de la iteración 6, y se registran las tareas de la iteración: T-60 (aceptación), T-61 y T-62 (servicios de la cuota y del desbloqueo), T-63 y T-64 (cuota en Inicio y pantalla de desbloqueo) y, como trabajo no planificado, T-65 a T-67 (hallazgos H-31, H-32 y H-34, corregidos en los PR #64 y #65). H-28 se corrigió al recargar el banco de demostración. T-68 (H-33) pasa a la iteración 8. T-52 registra la regla acordada con la contraparte el 21/10/2026, y T-23 (restricción de las claves de Firebase) pasa a hecha, confirmada por el programador backend el 23/10/2026. Se ordena la lista: las tareas quedan por número dentro de su historia, T-48 pasa junto a las demás pruebas de aceptación en Calidad e integración, los tipos se escriben con tilde y se agregan las hojas Conteo, con el total por tipo y estado, y Tareas, con todas las tareas por número.</t>
        </is>
      </c>
    </row>
    <row r="23" s="29"/>
    <row r="24" ht="15" customHeight="1" s="29">
      <c r="A24" s="12" t="inlineStr">
        <is>
          <t>Cambios de la versión 2.8</t>
        </is>
      </c>
    </row>
    <row r="25" ht="162.1875" customHeight="1" s="29">
      <c r="A25" s="14" t="inlineStr">
        <is>
          <t>Cierre de la iteración 6, con la prueba de aceptación T-48 del 18/10/2026 (21 de 26 pasos aprobados, una falla, dos observaciones y dos pasos no ejecutados). HU-06 queda terminada: 5 puntos de 5 comprometidos. Quedan terminadas T-42 y T-44 a T-51; T-50 incluye el selector de materia de la aplicación. T-43 no se acepta: la recarga en Resultado ya no deja la pantalla en blanco y el retorno desde la explicación (H-16) quedó resuelto, pero el resultado no se recupera al recargar (H-25). Se registran como trabajo no planificado de la iteración T-53 (aislamiento por sesión de las operaciones de práctica y revalidación de la pendiente sin testId, hallazgos P1 y P2 de la revisión del PR #54), T-54 (retiro del campo Edad del desbloqueo, H-10) y T-55 (botón de inicio en las pantallas del módulo). T-43 y las tareas de los hallazgos de la prueba, T-56 a T-59 (H-26 a H-29), se asignan a la iteración 7, con T-43 como prioridad. H-30 es informativo. H-17 y H-23 persisten en pantallas ajenas al módulo, y H-20 sigue pendiente para HU-09.</t>
        </is>
      </c>
    </row>
    <row r="26" s="29"/>
    <row r="27" ht="15" customHeight="1" s="29">
      <c r="A27" s="12" t="inlineStr">
        <is>
          <t>Cambios de la versión 2.7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9.75" customHeight="1" s="29">
      <c r="A28" s="14" t="inlineStr">
        <is>
          <t>Avance de la iteración 6, en curso al 15/10/2026. HU-06 pasa a en curso, con las tareas T-46 (servicio de la habilidad), T-47 (pantalla Habilidad evaluada) y T-48 (prueba de aceptación de la iteración). Entran a la iteración 6 las tareas de hallazgos T-42 a T-45. Se registran como trabajo no planificado de la iteración T-49 (pregunta pendiente de un día anterior y tope de cinco minutos al tiempo registrado, que resuelve H-22), T-50 (selección de la prueba con testId, a pedido de la contraparte) y T-51 (alineación con el contrato de la API). La contraparte confirmó el 15/10/2026 el criterio de dominio de HU-06 (90 % de acierto con al menos diez respuestas), la regla de T-49 y el tratamiento de los errores de T-51. Se agrega como tarea por planificar T-52 (preguntas compartidas en grupos y comunidad), a pedido de la contraparte. H-24 queda resuelto: la ruta de la habilidad es /questions/{id}/skill.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s="29">
      <c r="A29" s="2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" customHeight="1" s="29">
      <c r="A30" s="12" t="inlineStr">
        <is>
          <t>Cambios de la versión 2.6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9.75" customHeight="1" s="29">
      <c r="A31" s="14" t="inlineStr">
        <is>
          <t>Cierre de la iteración 5, con la prueba de aceptación T-39 del 10/10/2026 (14 de 16 pasos aprobados, sin fallas). HU-05, HU-12, HT-06 y HT-03 quedan terminadas: 10 puntos de 10 comprometidos. Quedan terminadas T-01, T-26 y T-38; T-38 se verifica con el rechazo del facsímil en el plan gratuito y su activación en un plan que lo incluye. Se agregan como tareas por planificar los hallazgos de la prueba y de la revisión del banco de demostración: T-42 (contenido de tres preguntas, H-12 a H-14), T-43 (pantalla Resultado al recargar y al volver desde la explicación, H-15 y H-16), T-44 (formato marcado tras el rechazo, H-18) y T-45 (servicios no disponibles, H-19). H-17 corresponde al hallazgo H-04 de la entrega funcional 1, que se resuelve con HU-07 y HU-13; H-23 corresponde a una pantalla ajena al módulo. H-20 se considera al implementar HU-09; H-21 y H-22 quedan como consultas a la contraparte y H-24 como ajuste del informe final. Se incorporan las tareas de las iteraciones 4 y 5 que solo figuraban en los planes de iteración (T-29 a T-35 y T-39 a T-41), y T-23 pasa a la iteración 5, por confirmar.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9">
      <c r="A32" s="2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" customHeight="1" s="29">
      <c r="A33" s="12" t="inlineStr">
        <is>
          <t>Cambios de la versión 2.5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45" customHeight="1" s="29">
      <c r="A34" s="14" t="inlineStr">
        <is>
          <t>Cierre de la iteración 4, con la prueba de aceptación T-35 del 05/10/2026 (9 de 11 pasos aprobados). HU-03, HU-04 y HT-04 quedan terminadas: 11 puntos de 18 comprometidos. HU-12 (orden del facsímil), HT-06 (entorno en los tres equipos) y HT-03 (contenedores) no se completaron y pasan a la iteración 5, sujetas al juego de planificación. Quedan terminadas T-20, T-25, T-27, T-28 y T-37, y T-36 se adelantó desde la iteración 7. T-37 la ejecutó el programador backend. T-26 (recarga en la versión web) no supera la aceptación y pasa a la iteración 5. T-23 y T-38 quedan por confirmar.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9">
      <c r="A35" s="2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" customHeight="1" s="29">
      <c r="A36" s="12" t="inlineStr">
        <is>
          <t>Cambios de la versión 2.4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45" customHeight="1" s="29">
      <c r="A37" s="14" t="inlineStr">
        <is>
          <t>Conciliación con la revisión del código del 01/10/2026: T-20, el servicio GET /questions/{id}, figuraba como hecha sin que el servicio exista; pasa a pendiente en la iteración 4, sin afectar los criterios de HU-01, verificados en la prueba de aceptación T-24. Se agregan T-36 (cuota con base 10 y tope 20, según la decisión de la contraparte), T-37 (prueba de integridad que detecte también explanation) y T-38 (facsímil solo con mock_mode).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9">
      <c r="A38" s="2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" customHeight="1" s="29">
      <c r="A39" s="12" t="inlineStr">
        <is>
          <t>Cambios de la versión 2.3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45" customHeight="1" s="29">
      <c r="A40" s="14" t="inlineStr">
        <is>
          <t>Se precisa que el módulo tiene catorce servicios: los trece del contrato de la empresa más GET /me, incorporado como ajuste de alcance (HT-07).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9">
      <c r="A41" s="2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" customHeight="1" s="29">
      <c r="A42" s="12" t="inlineStr">
        <is>
          <t>Cambios de la versión 2.2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45" customHeight="1" s="29">
      <c r="A43" s="14" t="inlineStr">
        <is>
          <t>Cierre de la iteración 3. HT-01 se divide: el despliegue queda terminado en la iteración 1 con 4 puntos, y la verificación del entorno en los tres equipos pasa a la historia HT-06, de 1 punto, en la iteración 4. Se registra HT-07, alta del alumno y GET /me, como trabajo no planificado de la iteración 3 y ajuste de alcance. HU-12 queda parcial y pasa a la iteración 4. Se agregan como tareas por planificar los hallazgos de la prueba de aceptación de la entrega funcional 1 (T-25 a T-28).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9">
      <c r="A44" s="2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" customHeight="1" s="29">
      <c r="A45" s="12" t="inlineStr">
        <is>
          <t>Pendientes que dependen de la empresa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45" customHeight="1" s="29">
      <c r="A46" s="14" t="inlineStr">
        <is>
          <t>Importar el banco real de preguntas una vez que la empresa lo clasifique por prueba, dificultad, eje y habilidad. Al importarlo, el módulo deberá admitir preguntas de cuatro y de cinco alternativas, como la PAES.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9">
      <c r="A47" s="2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" customHeight="1" s="29">
      <c r="A48" s="12" t="inlineStr">
        <is>
          <t>Cambios de la versión 2.1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34.5" customHeight="1" s="29">
      <c r="A49" s="14" t="inlineStr">
        <is>
          <t>HU-11 y HU-12 pasan al programador backend, porque el encargado de pruebas no implementa lo que valida; el encargado de pruebas asume las pruebas de aceptación de la entrega funcional 1 (T-24). HT-04 calcula el percentil desde un histograma de tiempos, según el modelo alineado con la consola de administración. T-10 queda en curso hasta integrar la solicitud que alinea el modelo. Se retira HU-22: el registro de usuarios y el restablecimiento de contraseña quedan fuera del alcance del módulo y los resuelve Firebase Authentication; el módulo solo requiere el identificador del alumno autenticado.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9">
      <c r="A50" s="2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9">
      <c r="A51" s="12" t="inlineStr">
        <is>
          <t>Cambios respecto de la versión 1.0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9">
      <c r="A52" s="14" t="inlineStr">
        <is>
          <t>Se reorganizó la lista en épicas, características, historias y tareas. Se agregaron la historia HU-21 de inicio de sesión, autorizada por el cliente y las historias técnicas HT-01 a HT-05. Se actualizaron HU-01, HU-03, HU-07, HU-08, HU-09, HU-14 y HU-16 según las definiciones del cliente: backend en FastAPI, autenticación con Firebase, versión web como plataforma y compatibilidad con la consola de administración.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9">
      <c r="A53" s="2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9">
      <c r="A54" s="2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9">
      <c r="A55" s="2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9">
      <c r="A56" s="2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9">
      <c r="A57" s="2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9">
      <c r="A58" s="2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9">
      <c r="A59" s="2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9">
      <c r="A60" s="2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9">
      <c r="A61" s="2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9">
      <c r="A62" s="2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9">
      <c r="A63" s="2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9">
      <c r="A64" s="2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9">
      <c r="A65" s="2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9">
      <c r="A66" s="2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9">
      <c r="A67" s="2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9">
      <c r="A68" s="2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9">
      <c r="A69" s="2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9">
      <c r="A70" s="2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9">
      <c r="A71" s="2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9">
      <c r="A72" s="2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9">
      <c r="A73" s="2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9">
      <c r="A74" s="2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9">
      <c r="A75" s="2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9">
      <c r="A76" s="2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9">
      <c r="A77" s="2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9">
      <c r="A78" s="2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9">
      <c r="A79" s="2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9">
      <c r="A80" s="2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9">
      <c r="A81" s="2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9">
      <c r="A82" s="2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9">
      <c r="A83" s="2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9">
      <c r="A84" s="2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9">
      <c r="A85" s="2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9">
      <c r="A86" s="2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9">
      <c r="A87" s="2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9">
      <c r="A88" s="2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9">
      <c r="A89" s="2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9">
      <c r="A90" s="2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9">
      <c r="A91" s="2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9">
      <c r="A92" s="2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9">
      <c r="A93" s="2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9">
      <c r="A94" s="2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9">
      <c r="A95" s="2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9">
      <c r="A96" s="2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9">
      <c r="A97" s="2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9">
      <c r="A98" s="2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9">
      <c r="A99" s="2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9">
      <c r="A100" s="2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9">
      <c r="A101" s="2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9">
      <c r="A102" s="2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9">
      <c r="A103" s="2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9">
      <c r="A104" s="2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9">
      <c r="A105" s="2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9">
      <c r="A106" s="2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9">
      <c r="A107" s="2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9">
      <c r="A108" s="2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9">
      <c r="A109" s="2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9">
      <c r="A110" s="2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9">
      <c r="A111" s="2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9">
      <c r="A112" s="2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9">
      <c r="A113" s="2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9">
      <c r="A114" s="2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9">
      <c r="A115" s="2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9">
      <c r="A116" s="2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9">
      <c r="A117" s="2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9">
      <c r="A118" s="2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9">
      <c r="A119" s="2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9">
      <c r="A120" s="2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9">
      <c r="A121" s="2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9">
      <c r="A122" s="2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9">
      <c r="A123" s="2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9">
      <c r="A124" s="2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9">
      <c r="A125" s="2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9">
      <c r="A126" s="2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9">
      <c r="A127" s="2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9">
      <c r="A128" s="2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9">
      <c r="A129" s="2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9">
      <c r="A130" s="2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9">
      <c r="A131" s="2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9">
      <c r="A132" s="2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9">
      <c r="A133" s="2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9">
      <c r="A134" s="2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9">
      <c r="A135" s="2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9">
      <c r="A136" s="2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9">
      <c r="A137" s="2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9">
      <c r="A138" s="2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9">
      <c r="A139" s="2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9">
      <c r="A140" s="2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9">
      <c r="A141" s="2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9">
      <c r="A142" s="2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9">
      <c r="A143" s="2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9">
      <c r="A144" s="2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9">
      <c r="A145" s="2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9">
      <c r="A146" s="2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9">
      <c r="A147" s="2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9">
      <c r="A148" s="2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9">
      <c r="A149" s="2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9">
      <c r="A150" s="2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9">
      <c r="A151" s="2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9">
      <c r="A152" s="2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9">
      <c r="A153" s="2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9">
      <c r="A154" s="2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9">
      <c r="A155" s="2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9">
      <c r="A156" s="2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9">
      <c r="A157" s="2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9">
      <c r="A158" s="2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9">
      <c r="A159" s="2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9">
      <c r="A160" s="2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9">
      <c r="A161" s="2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9">
      <c r="A162" s="2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9">
      <c r="A163" s="2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9">
      <c r="A164" s="2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9">
      <c r="A165" s="2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9">
      <c r="A166" s="2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9">
      <c r="A167" s="2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9">
      <c r="A168" s="2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9">
      <c r="A169" s="2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9">
      <c r="A170" s="2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9">
      <c r="A171" s="2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9">
      <c r="A172" s="2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9">
      <c r="A173" s="2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9">
      <c r="A174" s="2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9">
      <c r="A175" s="2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9">
      <c r="A176" s="2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9">
      <c r="A177" s="2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9">
      <c r="A178" s="2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9">
      <c r="A179" s="2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9">
      <c r="A180" s="2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9">
      <c r="A181" s="2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9">
      <c r="A182" s="2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9">
      <c r="A183" s="2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9">
      <c r="A184" s="2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9">
      <c r="A185" s="2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9">
      <c r="A186" s="2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9">
      <c r="A187" s="2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9">
      <c r="A188" s="2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9">
      <c r="A189" s="2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9">
      <c r="A190" s="2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9">
      <c r="A191" s="2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9">
      <c r="A192" s="2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9">
      <c r="A193" s="2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9">
      <c r="A194" s="2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9">
      <c r="A195" s="2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9">
      <c r="A196" s="2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9">
      <c r="A197" s="2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9">
      <c r="A198" s="2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9">
      <c r="A199" s="2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9">
      <c r="A200" s="2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9">
      <c r="A201" s="2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9">
      <c r="A202" s="2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9">
      <c r="A203" s="2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9">
      <c r="A204" s="2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9">
      <c r="A205" s="2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9">
      <c r="A206" s="2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9">
      <c r="A207" s="2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9">
      <c r="A208" s="2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9">
      <c r="A209" s="2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9">
      <c r="A210" s="2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9">
      <c r="A211" s="2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9">
      <c r="A212" s="2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9">
      <c r="A213" s="2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9">
      <c r="A214" s="2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9">
      <c r="A215" s="2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9">
      <c r="A216" s="2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9">
      <c r="A217" s="2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9">
      <c r="A218" s="2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9">
      <c r="A219" s="2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9">
      <c r="A220" s="2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9">
      <c r="A221" s="2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9">
      <c r="A222" s="2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9">
      <c r="A223" s="2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9">
      <c r="A224" s="2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9">
      <c r="A225" s="2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9">
      <c r="A226" s="2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9">
      <c r="A227" s="2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9">
      <c r="A228" s="2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9">
      <c r="A229" s="2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9">
      <c r="A230" s="2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9">
      <c r="A231" s="2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9">
      <c r="A232" s="2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9">
      <c r="A233" s="2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9">
      <c r="A234" s="2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9">
      <c r="A235" s="2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9">
      <c r="A236" s="2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9">
      <c r="A237" s="2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9">
      <c r="A238" s="2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9">
      <c r="A239" s="2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9">
      <c r="A240" s="2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9">
      <c r="A241" s="2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9">
      <c r="A242" s="2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9">
      <c r="A243" s="2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9">
      <c r="A244" s="2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9">
      <c r="A245" s="2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9">
      <c r="A246" s="2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9">
      <c r="A247" s="2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9">
      <c r="A248" s="2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9">
      <c r="A249" s="2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9">
      <c r="A250" s="2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9">
      <c r="A251" s="2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9">
      <c r="A252" s="2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</row>
    <row r="1003">
      <c r="A1003" s="4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</row>
    <row r="1004">
      <c r="A1004" s="4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</row>
    <row r="1005">
      <c r="A1005" s="4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</row>
    <row r="1006">
      <c r="A1006" s="4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</row>
    <row r="1007">
      <c r="A1007" s="4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</row>
    <row r="1008">
      <c r="A1008" s="4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</row>
    <row r="1009">
      <c r="A1009" s="4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</row>
  </sheetData>
  <pageMargins left="0.75" right="0.75" top="1" bottom="1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2026-10-01T19:42:56Z</dcterms:created>
  <dcterms:modified xmlns:dcterms="http://purl.org/dc/terms/" xmlns:xsi="http://www.w3.org/2001/XMLSchema-instance" xsi:type="dcterms:W3CDTF">2026-10-29T21:24:58Z</dcterms:modified>
</cp:coreProperties>
</file>