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ta Gantt" sheetId="1" r:id="rId4"/>
    <sheet state="visible" name="Calendario" sheetId="2" r:id="rId5"/>
    <sheet state="visible" name="Iteraciones" sheetId="3" r:id="rId6"/>
    <sheet state="visible" name="Diagrama Gantt" sheetId="4" r:id="rId7"/>
    <sheet state="visible" name="Línea de tiempo" sheetId="5" r:id="rId8"/>
    <sheet state="visible" name="Control de versiones" sheetId="6" r:id="rId9"/>
  </sheets>
  <definedNames/>
  <calcPr/>
  <extLst>
    <ext uri="GoogleSheetsCustomDataVersion2">
      <go:sheetsCustomData xmlns:go="http://customooxmlschemas.google.com/" r:id="rId10" roundtripDataChecksum="zDEMxG13J5Wp/jufq9IAk4XpALlpMBrQnxEbyIjV1EY="/>
    </ext>
  </extLst>
</workbook>
</file>

<file path=xl/sharedStrings.xml><?xml version="1.0" encoding="utf-8"?>
<sst xmlns="http://schemas.openxmlformats.org/spreadsheetml/2006/main" count="574" uniqueCount="310">
  <si>
    <t>PLAN DE ITERACIONES - EXTREME PROGRAMMING</t>
  </si>
  <si>
    <t>CARTA GANTT - APP MÓVIL APRUEBA - MÓDULO DE PREGUNTAS</t>
  </si>
  <si>
    <t>Al inicio de cada iteración: juego de planificación. Al cierre: validación con el cliente, reflexión de cierre y registro de velocidad. El detalle de tareas está en el Plan de entregas y planes de iteración.</t>
  </si>
  <si>
    <t>CALENDARIO ACADÉMICO, DE ITERACIONES E HITOS</t>
  </si>
  <si>
    <t>Iteración</t>
  </si>
  <si>
    <t>Semana</t>
  </si>
  <si>
    <t>Fechas</t>
  </si>
  <si>
    <t>Contenido</t>
  </si>
  <si>
    <t>Historias</t>
  </si>
  <si>
    <t>Responsables</t>
  </si>
  <si>
    <t>Puntos</t>
  </si>
  <si>
    <t>Entrega</t>
  </si>
  <si>
    <t>Iteración 1</t>
  </si>
  <si>
    <t>S5</t>
  </si>
  <si>
    <t>07/09 al 12/09/2026</t>
  </si>
  <si>
    <t>Fuente: cronograma oficial de la sección CAPSTONE_002D e hitos informados por la empresa contraparte. Semana 1 desde el 10/08/2026.</t>
  </si>
  <si>
    <t>Despliegue de la aplicación web y de la API</t>
  </si>
  <si>
    <t>HT-01</t>
  </si>
  <si>
    <t>Jeremías Fernández</t>
  </si>
  <si>
    <t>PTY4614 Capstone · Sección 002D · Grupo 9 · Duoc UC San Bernardo · Empresa contraparte: Alloxentric · Metodología: Extreme Programming</t>
  </si>
  <si>
    <t>Iteración 2</t>
  </si>
  <si>
    <t>S6</t>
  </si>
  <si>
    <t>14/09 al 19/09/2026</t>
  </si>
  <si>
    <t>Modelo de datos en Firestore, esquema local y modelos de dominio con pruebas</t>
  </si>
  <si>
    <t>HU-20</t>
  </si>
  <si>
    <t>Jeremías / Sebastián</t>
  </si>
  <si>
    <t>Iteración 3</t>
  </si>
  <si>
    <t>S7</t>
  </si>
  <si>
    <t>21/09 al 26/09/2026</t>
  </si>
  <si>
    <t>Backend en FastAPI, inicio de sesión con Firebase, alta del alumno y GET /me, entrega de preguntas, catálogo de pruebas y pantalla Pregunta</t>
  </si>
  <si>
    <t>HT-02, HU-21, HT-07, HU-16, HU-11, HU-01, HU-02</t>
  </si>
  <si>
    <t>Entrega 1</t>
  </si>
  <si>
    <t>Iteración 4</t>
  </si>
  <si>
    <t>S8</t>
  </si>
  <si>
    <t>28/09 al 03/10/2026</t>
  </si>
  <si>
    <t>Registro de respuesta, percentil de cohorte y pantalla Resultado</t>
  </si>
  <si>
    <t>HU-03, HU-04, HT-04</t>
  </si>
  <si>
    <t>Semana 1: 10/08/2026 · Semana 18: 12/12/2026 · Diez iteraciones semanales agrupadas en tres entregas funcionales · Versión 2.2 · 15/10/2026</t>
  </si>
  <si>
    <t>Iteración 5</t>
  </si>
  <si>
    <t>S9</t>
  </si>
  <si>
    <t>05/10 al 10/10/2026</t>
  </si>
  <si>
    <t>Explicación detallada, formato y dificultad, entorno en los tres equipos y contenedores Docker</t>
  </si>
  <si>
    <t>HU-05, HU-12, HT-06, HT-03</t>
  </si>
  <si>
    <t>Equipo completo</t>
  </si>
  <si>
    <t>Desde</t>
  </si>
  <si>
    <t>Hasta</t>
  </si>
  <si>
    <t>Iteración 6</t>
  </si>
  <si>
    <t>Fase</t>
  </si>
  <si>
    <t>S10</t>
  </si>
  <si>
    <t>12/10 al 17/10/2026</t>
  </si>
  <si>
    <t>Habilidad y ruta de aprendizaje</t>
  </si>
  <si>
    <t>Entrega funcional</t>
  </si>
  <si>
    <t>HU-06</t>
  </si>
  <si>
    <t>Hito de la asignatura</t>
  </si>
  <si>
    <t>Entrega 2</t>
  </si>
  <si>
    <t>Hito de la empresa</t>
  </si>
  <si>
    <t>Iteración 7</t>
  </si>
  <si>
    <t>S11</t>
  </si>
  <si>
    <t>19/10 al 24/10/2026</t>
  </si>
  <si>
    <t>Cuota diaria escalonada y pantalla de desbloqueo</t>
  </si>
  <si>
    <t>HU-07, HU-08</t>
  </si>
  <si>
    <t>Iteración 8</t>
  </si>
  <si>
    <t>S12</t>
  </si>
  <si>
    <t>26/10 al 31/10/2026</t>
  </si>
  <si>
    <t>Recorrección: envío y consulta de estado</t>
  </si>
  <si>
    <t>HU-09, HU-10</t>
  </si>
  <si>
    <t>Iteración 9</t>
  </si>
  <si>
    <t>S13</t>
  </si>
  <si>
    <t>02/11 al 07/11/2026</t>
  </si>
  <si>
    <t>EDT · paquetes</t>
  </si>
  <si>
    <t>Caché sin conexión y progreso por prueba</t>
  </si>
  <si>
    <t>HU-13, HU-14</t>
  </si>
  <si>
    <t>10/08/2026</t>
  </si>
  <si>
    <t>15/08/2026</t>
  </si>
  <si>
    <t>Iteración 10</t>
  </si>
  <si>
    <t>Fase 1 · Definición</t>
  </si>
  <si>
    <t>S14</t>
  </si>
  <si>
    <t>09/11 al 14/11/2026</t>
  </si>
  <si>
    <t>Pruebas de integración, análisis estático y compilación</t>
  </si>
  <si>
    <t>HT-05</t>
  </si>
  <si>
    <t>Martin Espinoza (encargado de pruebas)</t>
  </si>
  <si>
    <t>17/08/2026</t>
  </si>
  <si>
    <t>Entrega 3</t>
  </si>
  <si>
    <t>22/08/2026</t>
  </si>
  <si>
    <t>Actividad</t>
  </si>
  <si>
    <t>Total</t>
  </si>
  <si>
    <t>24/08/2026</t>
  </si>
  <si>
    <t>29/08/2026</t>
  </si>
  <si>
    <t>Responsable</t>
  </si>
  <si>
    <t>31/08/2026</t>
  </si>
  <si>
    <t>05/09/2026</t>
  </si>
  <si>
    <t>Entrega de documentación de Fase 1</t>
  </si>
  <si>
    <t>07/09/2026</t>
  </si>
  <si>
    <t>12/09/2026</t>
  </si>
  <si>
    <t>Fase 1 y 2 (traslape)</t>
  </si>
  <si>
    <t>FASE 1 · Definición</t>
  </si>
  <si>
    <t>Exposición de Fase 1</t>
  </si>
  <si>
    <t>14/09/2026</t>
  </si>
  <si>
    <t>19/09/2026</t>
  </si>
  <si>
    <t>Fase 2 · Desarrollo</t>
  </si>
  <si>
    <t>21/09/2026</t>
  </si>
  <si>
    <t>26/09/2026</t>
  </si>
  <si>
    <t>FASE 2 · Desarrollo</t>
  </si>
  <si>
    <t>28/09/2026</t>
  </si>
  <si>
    <t>03/10/2026</t>
  </si>
  <si>
    <t>Hito 1: MVP con base de datos operativa (28/09 al 03/10; reprogramado)</t>
  </si>
  <si>
    <t>05/10/2026</t>
  </si>
  <si>
    <t>10/10/2026</t>
  </si>
  <si>
    <t>Informe de avance</t>
  </si>
  <si>
    <t>12/10/2026</t>
  </si>
  <si>
    <t>17/10/2026</t>
  </si>
  <si>
    <t>Presentación de avance (pitch de 7 minutos)</t>
  </si>
  <si>
    <t>Hito 1: MVP entregado a la contraparte para su testeo (13/10)</t>
  </si>
  <si>
    <t>19/10/2026</t>
  </si>
  <si>
    <t>24/10/2026</t>
  </si>
  <si>
    <t>Retroalimentación del informe de avance</t>
  </si>
  <si>
    <t>26/10/2026</t>
  </si>
  <si>
    <t>31/10/2026</t>
  </si>
  <si>
    <t>FASE 3 · Cierre</t>
  </si>
  <si>
    <t>Hito 2: proyecto completo en contenedores (26 al 31/10)</t>
  </si>
  <si>
    <t>02/11/2026</t>
  </si>
  <si>
    <t>07/11/2026</t>
  </si>
  <si>
    <t>Presentación y definición de continuidad</t>
  </si>
  <si>
    <t>09/11/2026</t>
  </si>
  <si>
    <t>14/11/2026</t>
  </si>
  <si>
    <t>16/11/2026</t>
  </si>
  <si>
    <t>21/11/2026</t>
  </si>
  <si>
    <t>Informe final</t>
  </si>
  <si>
    <t>Hito 3: proyecto entregado y documentado (16 al 28/11)</t>
  </si>
  <si>
    <t>23/11/2026</t>
  </si>
  <si>
    <t>28/11/2026</t>
  </si>
  <si>
    <t>Fase 3 · Cierre</t>
  </si>
  <si>
    <t>Correcciones</t>
  </si>
  <si>
    <t>S1</t>
  </si>
  <si>
    <t>S2</t>
  </si>
  <si>
    <t>S3</t>
  </si>
  <si>
    <t>S4</t>
  </si>
  <si>
    <t>30/11/2026</t>
  </si>
  <si>
    <t>05/12/2026</t>
  </si>
  <si>
    <t>Presentación ante comisión evaluadora</t>
  </si>
  <si>
    <t>07/12/2026</t>
  </si>
  <si>
    <t>12/12/2026</t>
  </si>
  <si>
    <t>Presentación a empresas vinculadas</t>
  </si>
  <si>
    <t>S15</t>
  </si>
  <si>
    <t>S16</t>
  </si>
  <si>
    <t>S17</t>
  </si>
  <si>
    <t>S18</t>
  </si>
  <si>
    <t>10/08</t>
  </si>
  <si>
    <t>17/08</t>
  </si>
  <si>
    <t>24/08</t>
  </si>
  <si>
    <t>31/08</t>
  </si>
  <si>
    <t>07/09</t>
  </si>
  <si>
    <t>14/09</t>
  </si>
  <si>
    <t>21/09</t>
  </si>
  <si>
    <t>28/09</t>
  </si>
  <si>
    <t>05/10</t>
  </si>
  <si>
    <t>12/10</t>
  </si>
  <si>
    <t>19/10</t>
  </si>
  <si>
    <t>26/10</t>
  </si>
  <si>
    <t>02/11</t>
  </si>
  <si>
    <t>09/11</t>
  </si>
  <si>
    <t>16/11</t>
  </si>
  <si>
    <t>23/11</t>
  </si>
  <si>
    <t>30/11</t>
  </si>
  <si>
    <t>07/12</t>
  </si>
  <si>
    <t>1.1</t>
  </si>
  <si>
    <t>GESTIÓN DEL PROYECTO</t>
  </si>
  <si>
    <t>1.1.1</t>
  </si>
  <si>
    <t>Plan de gestión y tablero de trabajo</t>
  </si>
  <si>
    <t>Martin Espinoza</t>
  </si>
  <si>
    <t>Transversal</t>
  </si>
  <si>
    <t>1.1.2</t>
  </si>
  <si>
    <t>Prácticas y ceremonias XP</t>
  </si>
  <si>
    <t>1.1.3</t>
  </si>
  <si>
    <t>Registro de supuestos y decisiones</t>
  </si>
  <si>
    <t>1.1.4</t>
  </si>
  <si>
    <t>Evidencias académicas individuales</t>
  </si>
  <si>
    <t>Cada integrante</t>
  </si>
  <si>
    <t>1.1.5</t>
  </si>
  <si>
    <t>Planes de iteración y registro de velocidad</t>
  </si>
  <si>
    <t>1.1.6</t>
  </si>
  <si>
    <t>Reflexiones de cierre de iteración</t>
  </si>
  <si>
    <t>1.2</t>
  </si>
  <si>
    <t>DEFINICIÓN DEL PROYECTO</t>
  </si>
  <si>
    <t>1.2.1.1</t>
  </si>
  <si>
    <t>Product Vision Statement</t>
  </si>
  <si>
    <t>Fase 1</t>
  </si>
  <si>
    <t>A</t>
  </si>
  <si>
    <t>1.2.1.2</t>
  </si>
  <si>
    <t>Registro de interesados</t>
  </si>
  <si>
    <t>1.2.2.1</t>
  </si>
  <si>
    <t>Enunciado de Alcance Preliminar</t>
  </si>
  <si>
    <t>1.2.2.2</t>
  </si>
  <si>
    <t>EDT y diccionario</t>
  </si>
  <si>
    <t>1.2.2.3</t>
  </si>
  <si>
    <t>Product Backlog (lista de producto)</t>
  </si>
  <si>
    <t>1.2.2.4</t>
  </si>
  <si>
    <t>Requisitos no funcionales</t>
  </si>
  <si>
    <t>1.2.2.5</t>
  </si>
  <si>
    <t>Plan de entregas</t>
  </si>
  <si>
    <t>1.2.2.6</t>
  </si>
  <si>
    <t>Cronograma (carta Gantt)</t>
  </si>
  <si>
    <t>1.2.2.7</t>
  </si>
  <si>
    <t>Criterios de terminado</t>
  </si>
  <si>
    <t>1.2.3.1</t>
  </si>
  <si>
    <t>Definición de tecnologías</t>
  </si>
  <si>
    <t>1.2.3.2</t>
  </si>
  <si>
    <t>Diagrama de arquitectura</t>
  </si>
  <si>
    <t>1.2.3.3</t>
  </si>
  <si>
    <t>Repositorio configurado</t>
  </si>
  <si>
    <t>1.2.4.1</t>
  </si>
  <si>
    <t>Guía de definición del Proyecto APT (1.5)</t>
  </si>
  <si>
    <t>GANTT GRÁFICO - APP MÓVIL APRUEBA - MÓDULO DE PREGUNTAS</t>
  </si>
  <si>
    <t>1.2.4.2</t>
  </si>
  <si>
    <t>Hito Duoc</t>
  </si>
  <si>
    <t>Fecha base (semana 1)</t>
  </si>
  <si>
    <t>1.3</t>
  </si>
  <si>
    <t>DESARROLLO DEL MÓDULO</t>
  </si>
  <si>
    <t>1.3.1.1 · 1.3.1.3</t>
  </si>
  <si>
    <t>Iteración 1 · Entorno de desarrollo y despliegue</t>
  </si>
  <si>
    <t>Fase 2</t>
  </si>
  <si>
    <t>Inicio (días)</t>
  </si>
  <si>
    <t>Duración (días)</t>
  </si>
  <si>
    <t>Inicio</t>
  </si>
  <si>
    <t>Fin</t>
  </si>
  <si>
    <t>1.3.2.1 a 1.3.2.3</t>
  </si>
  <si>
    <t>Sem. inicio</t>
  </si>
  <si>
    <t>Iteración 2 · Modelo de datos, esquema local y modelos de dominio</t>
  </si>
  <si>
    <t>Sem. fin</t>
  </si>
  <si>
    <t>1.3.1.2 · 1.3.3.1 · 1.3.3.4 · 1.3.4.1 · 1.3.5.1</t>
  </si>
  <si>
    <t>Iteración 3 · Backend en FastAPI, inicio de sesión, alta del alumno, entrega de preguntas, configuración y pantalla Pregunta</t>
  </si>
  <si>
    <t>→ ENTREGA FUNCIONAL 1</t>
  </si>
  <si>
    <t>Hito</t>
  </si>
  <si>
    <t>→ HITO 1 EMPRESA · MVP con base de datos operativa (entregado para testeo el 13/10)</t>
  </si>
  <si>
    <t>Hito empresa</t>
  </si>
  <si>
    <t>1.3.3.1 · 1.3.4.2</t>
  </si>
  <si>
    <t>Iteración 4 · Registro de respuesta, percentil y pantalla Resultado</t>
  </si>
  <si>
    <t>1.3.1.1 · 1.3.3.1 · 1.3.3.4 · 1.3.4.3 · 1.3.6.4</t>
  </si>
  <si>
    <t>Iteración 5 · Explicación detallada, formato y dificultad, entorno en los tres equipos y contenedores Docker</t>
  </si>
  <si>
    <t>1.3.3.1 · 1.3.4.4</t>
  </si>
  <si>
    <t>Iteración 6 · Habilidad y ruta de aprendizaje</t>
  </si>
  <si>
    <t>→ ENTREGA FUNCIONAL 2</t>
  </si>
  <si>
    <t>1.3.3.2 · 1.3.4.6</t>
  </si>
  <si>
    <t>Iteración 7 · Cuota diaria y desbloqueo</t>
  </si>
  <si>
    <t>1.3.3.3 · 1.3.4.5</t>
  </si>
  <si>
    <t>Control de versiones</t>
  </si>
  <si>
    <t>Iteración 8 · Recorrección</t>
  </si>
  <si>
    <t>LÍNEA DE TIEMPO - FASES, ITERACIONES E HITOS</t>
  </si>
  <si>
    <t>→ HITO 2 EMPRESA · Proyecto completo en contenedores</t>
  </si>
  <si>
    <t>18 semanas · 10/08/2026 al 12/12/2026 · Extreme Programming · Grupo 9</t>
  </si>
  <si>
    <t>1.3.3.4 · 1.3.5.2</t>
  </si>
  <si>
    <t>Iteración 9 · Caché sin conexión y progreso</t>
  </si>
  <si>
    <t>Versión</t>
  </si>
  <si>
    <t>Fecha</t>
  </si>
  <si>
    <t>Descripción del cambio</t>
  </si>
  <si>
    <t>1.3.6.2 · 1.3.6.3</t>
  </si>
  <si>
    <t>Iteración 10 · Pruebas de integración, análisis estático y compilación</t>
  </si>
  <si>
    <t>→ ENTREGA FUNCIONAL 3</t>
  </si>
  <si>
    <t>1.0</t>
  </si>
  <si>
    <t>Versión inicial con las fases, las diez iteraciones, las tres entregas funcionales y los hitos evaluativos de la sección.</t>
  </si>
  <si>
    <t>2.0</t>
  </si>
  <si>
    <t>Se alinea con la EDT 3.0 y el Product Backlog 2.1. Se retiran el Acta de Constitución y el SRS, y se incorporan los artefactos de Extreme Programming, la documentación de diseño y las actualizaciones de documentos. Se agregan los hitos de la empresa (MVP en la semana 8, contenedores en la 12 y entrega documentada en la 15 y la 16) y los nuevos hitos de la asignatura (informe de avance en la semana 9, presentación y video en la 10, retroalimentación en la 11, presentación en la 13 y correcciones en la 16). Docker pasa a la iteración 7, y la iteración 3 incorpora el backend en FastAPI y el inicio de sesión con Firebase. Se elimina el dibujo de la EDT, que se mantiene en su propio documento.</t>
  </si>
  <si>
    <t>2.1</t>
  </si>
  <si>
    <t>1.3.6.1</t>
  </si>
  <si>
    <t>29/09/2026</t>
  </si>
  <si>
    <t>Pruebas unitarias (antes del código, en cada iteración)</t>
  </si>
  <si>
    <t>Cierre de la iteración 3: la iteración 3 incorpora el alta del alumno con GET /me; la iteración 4 suma el formato de práctica (HU-12) y la verificación del entorno en los tres equipos (HT-06). Los puntos totales pasan de 88 a 91. Se actualiza la referencia al plan de entregas y los planes de iteración.</t>
  </si>
  <si>
    <t>2.2</t>
  </si>
  <si>
    <t>15/10/2026</t>
  </si>
  <si>
    <t>Avance de la iteración 6, en curso. Se corrigen el contenido, las historias y los puntos de las iteraciones 4, 5 y 7 según sus cierres: el formato de práctica (HU-12), la verificación del entorno (HT-06) y los contenedores Docker (HT-03) se completaron en la iteración 5, por lo que la iteración 4 queda con 11 puntos, la 5 con 10 y la 7 con 7; el total se mantiene en 91. Se registra la entrega del MVP a la contraparte para su testeo el 13/10/2026 (semana 10) y la presentación de avance como pitch de siete minutos. Se ordena el control de versiones.</t>
  </si>
  <si>
    <t>1.3.6.5</t>
  </si>
  <si>
    <t>Plan de pruebas y pruebas de aceptación</t>
  </si>
  <si>
    <t>1.3.7.1</t>
  </si>
  <si>
    <t>Documento del modelo de datos</t>
  </si>
  <si>
    <t>1.3.7.2</t>
  </si>
  <si>
    <t>Diagramas UML</t>
  </si>
  <si>
    <t>1.3.7.3</t>
  </si>
  <si>
    <t>Innovación</t>
  </si>
  <si>
    <t>1.3.8.1</t>
  </si>
  <si>
    <t>1.3.8.2</t>
  </si>
  <si>
    <t>1.3.8.3</t>
  </si>
  <si>
    <t>Presentación de la semana 13</t>
  </si>
  <si>
    <t>1.3.8.4</t>
  </si>
  <si>
    <t>→ HITO 3 EMPRESA · Proyecto entregado y documentado</t>
  </si>
  <si>
    <t>1.4</t>
  </si>
  <si>
    <t>CIERRE Y PRESENTACIÓN</t>
  </si>
  <si>
    <t>1.4.1</t>
  </si>
  <si>
    <t>Documentación final y manual técnico</t>
  </si>
  <si>
    <t>Fase 3</t>
  </si>
  <si>
    <t>1.4.2</t>
  </si>
  <si>
    <t>Correcciones posteriores al informe final</t>
  </si>
  <si>
    <t>1.4.3</t>
  </si>
  <si>
    <t>Demostración funcional y ensayo</t>
  </si>
  <si>
    <t>1.4.4</t>
  </si>
  <si>
    <t>1.4.5</t>
  </si>
  <si>
    <t>LEYENDA</t>
  </si>
  <si>
    <t>Gestión del proyecto (transversal)</t>
  </si>
  <si>
    <t>Fase 1 · Definición del proyecto (semanas 1 a 4)</t>
  </si>
  <si>
    <t>Fase 2 · Desarrollo del módulo (semanas 5 a 15; diez iteraciones entre la 5 y la 14)</t>
  </si>
  <si>
    <t>Fase 3 · Cierre y presentación (semanas 16 a 18)</t>
  </si>
  <si>
    <t>Hito de la asignatura o entrega funcional</t>
  </si>
  <si>
    <t>Hito de la empresa contraparte</t>
  </si>
  <si>
    <t>A = actualización del documento por cambios del proyecto</t>
  </si>
  <si>
    <t xml:space="preserve">Semana 1: 10/08/2026 · Semana 18: 12/12/2026 · Diez iteraciones semanales agrupadas en tres entregas funcionales · Versión 2.3 · 18/10/2026</t>
  </si>
  <si>
    <t xml:space="preserve">Iteración 7 · Cuota diaria y desbloqueo, y correcciones de la aceptación de la iteración 6</t>
  </si>
  <si>
    <t xml:space="preserve">Cuota diaria escalonada y pantalla de desbloqueo, y correcciones de la aceptación de la iteración 6 (T-43 y T-56 a T-59)</t>
  </si>
  <si>
    <t xml:space="preserve">2.3</t>
  </si>
  <si>
    <t xml:space="preserve">18/10/2026</t>
  </si>
  <si>
    <t xml:space="preserve">Cierre de la iteración 6 y de la entrega funcional 2: la habilidad evaluada (HU-06) se acepta el 18/10/2026 con la prueba T-48, con 5 de 5 puntos. La iteración 7 incorpora las correcciones de la aceptación (T-43 y T-56 a T-59), sin cambiar sus puntos.</t>
  </si>
  <si>
    <t xml:space="preserve">Iteración 7 · Cuota diaria y desbloqueo, y correcciones de la iteración 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</si>
</sst>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6">
    <font>
      <sz val="11.0"/>
      <color theme="1"/>
      <name val="Calibri"/>
      <scheme val="minor"/>
    </font>
    <font>
      <b/>
      <sz val="14.0"/>
      <color theme="1"/>
      <name val="Calibri"/>
    </font>
    <font>
      <sz val="11.0"/>
      <color theme="1"/>
      <name val="Calibri"/>
    </font>
    <font>
      <b/>
      <sz val="15.0"/>
      <color theme="1"/>
      <name val="Calibri"/>
    </font>
    <font>
      <sz val="10.0"/>
      <color theme="1"/>
      <name val="Calibri"/>
    </font>
    <font>
      <b/>
      <sz val="10.0"/>
      <color rgb="FFFFFFFF"/>
      <name val="Calibri"/>
    </font>
    <font>
      <sz val="10.0"/>
      <color rgb="FF000000"/>
      <name val="Calibri"/>
    </font>
    <font>
      <b/>
      <sz val="10.0"/>
      <color rgb="FFC00000"/>
      <name val="Calibri"/>
    </font>
    <font>
      <b/>
      <sz val="10.0"/>
      <color rgb="FF000000"/>
      <name val="Calibri"/>
    </font>
    <font/>
    <font>
      <b/>
      <sz val="10.0"/>
      <color rgb="FF7030A0"/>
      <name val="Calibri"/>
    </font>
    <font>
      <sz val="8.0"/>
      <color rgb="FFFFFFFF"/>
      <name val="Calibri"/>
    </font>
    <font>
      <b/>
      <sz val="8.0"/>
      <color rgb="FF595959"/>
      <name val="Calibri"/>
    </font>
    <font>
      <color theme="1"/>
      <name val="Calibri"/>
    </font>
    <font>
      <b/>
      <sz val="10.0"/>
      <color theme="0"/>
      <name val="Calibri"/>
    </font>
    <font>
      <b/>
      <sz val="10.0"/>
      <color rgb="FF595959"/>
      <name val="Calibri"/>
    </font>
  </fonts>
  <fills count="1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0000"/>
        <bgColor rgb="FF000000"/>
      </patternFill>
    </fill>
    <fill>
      <patternFill patternType="solid">
        <fgColor rgb="FFEAF0FA"/>
        <bgColor rgb="FFEAF0FA"/>
      </patternFill>
    </fill>
    <fill>
      <patternFill patternType="solid">
        <fgColor rgb="FFD9D9D9"/>
        <bgColor rgb="FFD9D9D9"/>
      </patternFill>
    </fill>
    <fill>
      <patternFill patternType="solid">
        <fgColor rgb="FF4472C4"/>
        <bgColor rgb="FF4472C4"/>
      </patternFill>
    </fill>
    <fill>
      <patternFill patternType="solid">
        <fgColor rgb="FFEEF6E8"/>
        <bgColor rgb="FFEEF6E8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FDEFE5"/>
        <bgColor rgb="FFFDEFE5"/>
      </patternFill>
    </fill>
    <fill>
      <patternFill patternType="solid">
        <fgColor rgb="FF8EA9C1"/>
        <bgColor rgb="FF8EA9C1"/>
      </patternFill>
    </fill>
    <fill>
      <patternFill patternType="solid">
        <fgColor rgb="FFC9D7F0"/>
        <bgColor rgb="FFC9D7F0"/>
      </patternFill>
    </fill>
    <fill>
      <patternFill patternType="solid">
        <fgColor rgb="FFC00000"/>
        <bgColor rgb="FFC00000"/>
      </patternFill>
    </fill>
    <fill>
      <patternFill patternType="solid">
        <fgColor rgb="FF7030A0"/>
        <bgColor rgb="FF7030A0"/>
      </patternFill>
    </fill>
    <fill>
      <patternFill patternType="solid">
        <fgColor theme="1"/>
        <bgColor theme="1"/>
      </patternFill>
    </fill>
  </fills>
  <borders count="9">
    <border/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</border>
    <border>
      <left style="thin">
        <color rgb="FFBFBFBF"/>
      </left>
      <right style="thin">
        <color rgb="FFBFBFBF"/>
      </right>
      <bottom style="thin">
        <color rgb="FFBFBFBF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ill="1" applyFont="1"/>
    <xf borderId="1" fillId="2" fontId="3" numFmtId="0" xfId="0" applyBorder="1" applyFill="1" applyFont="1"/>
    <xf borderId="1" fillId="2" fontId="4" numFmtId="0" xfId="0" applyBorder="1" applyFill="1" applyFont="1"/>
    <xf borderId="2" fillId="3" fontId="5" numFmtId="0" xfId="0" applyAlignment="1" applyBorder="1" applyFill="1" applyFont="1">
      <alignment horizontal="center"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shrinkToFit="0" vertical="center" wrapText="1"/>
    </xf>
    <xf borderId="2" fillId="0" fontId="7" numFmtId="0" xfId="0" applyAlignment="1" applyBorder="1" applyFont="1">
      <alignment horizontal="center" shrinkToFit="0" vertical="center" wrapText="1"/>
    </xf>
    <xf borderId="2" fillId="4" fontId="6" numFmtId="0" xfId="0" applyAlignment="1" applyBorder="1" applyFill="1" applyFont="1">
      <alignment horizontal="center" shrinkToFit="0" vertical="center" wrapText="1"/>
    </xf>
    <xf borderId="2" fillId="4" fontId="6" numFmtId="0" xfId="0" applyAlignment="1" applyBorder="1" applyFill="1" applyFont="1">
      <alignment shrinkToFit="0" vertical="center" wrapText="1"/>
    </xf>
    <xf borderId="3" fillId="3" fontId="5" numFmtId="0" xfId="0" applyAlignment="1" applyBorder="1" applyFill="1" applyFont="1">
      <alignment horizontal="center" shrinkToFit="0" vertical="center" wrapText="1"/>
    </xf>
    <xf borderId="2" fillId="5" fontId="8" numFmtId="0" xfId="0" applyAlignment="1" applyBorder="1" applyFill="1" applyFont="1">
      <alignment shrinkToFit="0" vertical="center" wrapText="1"/>
    </xf>
    <xf borderId="2" fillId="4" fontId="7" numFmtId="0" xfId="0" applyAlignment="1" applyBorder="1" applyFill="1" applyFont="1">
      <alignment shrinkToFit="0" vertical="center" wrapText="1"/>
    </xf>
    <xf borderId="2" fillId="5" fontId="8" numFmtId="0" xfId="0" applyAlignment="1" applyBorder="1" applyFill="1" applyFont="1">
      <alignment horizontal="center" shrinkToFit="0" vertical="center" wrapText="1"/>
    </xf>
    <xf borderId="4" fillId="6" fontId="5" numFmtId="0" xfId="0" applyAlignment="1" applyBorder="1" applyFill="1" applyFont="1">
      <alignment horizontal="center" shrinkToFit="0" vertical="center" wrapText="1"/>
    </xf>
    <xf borderId="2" fillId="7" fontId="6" numFmtId="0" xfId="0" applyAlignment="1" applyBorder="1" applyFill="1" applyFont="1">
      <alignment horizontal="center" shrinkToFit="0" vertical="center" wrapText="1"/>
    </xf>
    <xf borderId="5" fillId="0" fontId="9" numFmtId="0" xfId="0" applyBorder="1" applyFont="1"/>
    <xf borderId="2" fillId="7" fontId="6" numFmtId="0" xfId="0" applyAlignment="1" applyBorder="1" applyFill="1" applyFont="1">
      <alignment shrinkToFit="0" vertical="center" wrapText="1"/>
    </xf>
    <xf borderId="6" fillId="0" fontId="9" numFmtId="0" xfId="0" applyBorder="1" applyFont="1"/>
    <xf borderId="2" fillId="7" fontId="10" numFmtId="0" xfId="0" applyAlignment="1" applyBorder="1" applyFill="1" applyFont="1">
      <alignment shrinkToFit="0" vertical="center" wrapText="1"/>
    </xf>
    <xf borderId="4" fillId="8" fontId="5" numFmtId="0" xfId="0" applyAlignment="1" applyBorder="1" applyFill="1" applyFont="1">
      <alignment horizontal="center" shrinkToFit="0" vertical="center" wrapText="1"/>
    </xf>
    <xf borderId="2" fillId="7" fontId="7" numFmtId="0" xfId="0" applyAlignment="1" applyBorder="1" applyFill="1" applyFont="1">
      <alignment shrinkToFit="0" vertical="center" wrapText="1"/>
    </xf>
    <xf borderId="4" fillId="9" fontId="5" numFmtId="0" xfId="0" applyAlignment="1" applyBorder="1" applyFill="1" applyFont="1">
      <alignment horizontal="center" shrinkToFit="0" vertical="center" wrapText="1"/>
    </xf>
    <xf borderId="2" fillId="10" fontId="6" numFmtId="0" xfId="0" applyAlignment="1" applyBorder="1" applyFill="1" applyFont="1">
      <alignment horizontal="center" shrinkToFit="0" vertical="center" wrapText="1"/>
    </xf>
    <xf borderId="7" fillId="0" fontId="9" numFmtId="0" xfId="0" applyBorder="1" applyFont="1"/>
    <xf borderId="2" fillId="10" fontId="6" numFmtId="0" xfId="0" applyAlignment="1" applyBorder="1" applyFill="1" applyFont="1">
      <alignment shrinkToFit="0" vertical="center" wrapText="1"/>
    </xf>
    <xf borderId="2" fillId="10" fontId="7" numFmtId="0" xfId="0" applyAlignment="1" applyBorder="1" applyFill="1" applyFont="1">
      <alignment shrinkToFit="0" vertical="center" wrapText="1"/>
    </xf>
    <xf borderId="2" fillId="10" fontId="10" numFmtId="0" xfId="0" applyAlignment="1" applyBorder="1" applyFill="1" applyFont="1">
      <alignment shrinkToFit="0" vertical="center" wrapText="1"/>
    </xf>
    <xf borderId="8" fillId="0" fontId="9" numFmtId="0" xfId="0" applyBorder="1" applyFont="1"/>
    <xf borderId="2" fillId="3" fontId="11" numFmtId="0" xfId="0" applyAlignment="1" applyBorder="1" applyFill="1" applyFont="1">
      <alignment horizontal="center" shrinkToFit="0" vertical="center" wrapText="1"/>
    </xf>
    <xf borderId="2" fillId="5" fontId="6" numFmtId="0" xfId="0" applyAlignment="1" applyBorder="1" applyFill="1" applyFont="1">
      <alignment shrinkToFit="0" vertical="center" wrapText="1"/>
    </xf>
    <xf borderId="2" fillId="11" fontId="6" numFmtId="0" xfId="0" applyAlignment="1" applyBorder="1" applyFill="1" applyFont="1">
      <alignment shrinkToFit="0" vertical="center" wrapText="1"/>
    </xf>
    <xf borderId="2" fillId="6" fontId="6" numFmtId="0" xfId="0" applyAlignment="1" applyBorder="1" applyFill="1" applyFont="1">
      <alignment shrinkToFit="0" vertical="center" wrapText="1"/>
    </xf>
    <xf borderId="2" fillId="12" fontId="12" numFmtId="0" xfId="0" applyAlignment="1" applyBorder="1" applyFill="1" applyFont="1">
      <alignment horizontal="center" shrinkToFit="0" vertical="center" wrapText="1"/>
    </xf>
    <xf borderId="2" fillId="0" fontId="7" numFmtId="0" xfId="0" applyAlignment="1" applyBorder="1" applyFont="1">
      <alignment shrinkToFit="0" vertical="center" wrapText="1"/>
    </xf>
    <xf borderId="2" fillId="13" fontId="6" numFmtId="0" xfId="0" applyAlignment="1" applyBorder="1" applyFill="1" applyFont="1">
      <alignment shrinkToFit="0" vertical="center" wrapText="1"/>
    </xf>
    <xf borderId="0" fillId="0" fontId="13" numFmtId="0" xfId="0" applyFont="1"/>
    <xf borderId="0" fillId="0" fontId="2" numFmtId="164" xfId="0" applyFont="1" applyNumberFormat="1"/>
    <xf borderId="2" fillId="8" fontId="6" numFmtId="0" xfId="0" applyAlignment="1" applyBorder="1" applyFill="1" applyFont="1">
      <alignment shrinkToFit="0" vertical="center" wrapText="1"/>
    </xf>
    <xf borderId="2" fillId="0" fontId="10" numFmtId="0" xfId="0" applyAlignment="1" applyBorder="1" applyFont="1">
      <alignment shrinkToFit="0" vertical="center" wrapText="1"/>
    </xf>
    <xf borderId="2" fillId="14" fontId="6" numFmtId="0" xfId="0" applyAlignment="1" applyBorder="1" applyFill="1" applyFont="1">
      <alignment shrinkToFit="0" vertical="center" wrapText="1"/>
    </xf>
    <xf borderId="2" fillId="0" fontId="6" numFmtId="164" xfId="0" applyAlignment="1" applyBorder="1" applyFont="1" applyNumberFormat="1">
      <alignment horizontal="center" shrinkToFit="0" vertical="center" wrapText="1"/>
    </xf>
    <xf borderId="2" fillId="15" fontId="14" numFmtId="0" xfId="0" applyAlignment="1" applyBorder="1" applyFill="1" applyFont="1">
      <alignment horizontal="center" shrinkToFit="0" vertical="center" wrapText="1"/>
    </xf>
    <xf borderId="2" fillId="9" fontId="6" numFmtId="0" xfId="0" applyAlignment="1" applyBorder="1" applyFill="1" applyFont="1">
      <alignment shrinkToFit="0" vertical="center" wrapText="1"/>
    </xf>
    <xf borderId="0" fillId="0" fontId="8" numFmtId="0" xfId="0" applyFont="1"/>
    <xf borderId="2" fillId="11" fontId="2" numFmtId="0" xfId="0" applyBorder="1" applyFill="1" applyFont="1"/>
    <xf borderId="0" fillId="0" fontId="4" numFmtId="0" xfId="0" applyFont="1"/>
    <xf borderId="2" fillId="6" fontId="2" numFmtId="0" xfId="0" applyBorder="1" applyFill="1" applyFont="1"/>
    <xf borderId="2" fillId="8" fontId="2" numFmtId="0" xfId="0" applyBorder="1" applyFill="1" applyFont="1"/>
    <xf borderId="2" fillId="9" fontId="2" numFmtId="0" xfId="0" applyBorder="1" applyFill="1" applyFont="1"/>
    <xf borderId="2" fillId="13" fontId="2" numFmtId="0" xfId="0" applyBorder="1" applyFill="1" applyFont="1"/>
    <xf borderId="2" fillId="14" fontId="2" numFmtId="0" xfId="0" applyBorder="1" applyFill="1" applyFont="1"/>
    <xf borderId="2" fillId="12" fontId="15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Cronograma del proyecto (días desde el 10/08/2026)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v>Inicio (días)</c:v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'Diagrama Gantt'!$A$6:$A$56</c:f>
            </c:strRef>
          </c:cat>
          <c:val>
            <c:numRef>
              <c:f>'Diagrama Gantt'!$B$6:$B$56</c:f>
              <c:numCache/>
            </c:numRef>
          </c:val>
        </c:ser>
        <c:ser>
          <c:idx val="1"/>
          <c:order val="1"/>
          <c:tx>
            <c:v>Duración (días)</c:v>
          </c:tx>
          <c:spPr>
            <a:solidFill>
              <a:srgbClr val="70AD47"/>
            </a:solidFill>
            <a:ln cmpd="sng">
              <a:noFill/>
            </a:ln>
          </c:spPr>
          <c:invertIfNegative val="0"/>
          <c:cat>
            <c:strRef>
              <c:f>'Diagrama Gantt'!$A$6:$A$56</c:f>
            </c:strRef>
          </c:cat>
          <c:val>
            <c:numRef>
              <c:f>'Diagrama Gantt'!$C$6:$C$56</c:f>
              <c:numCache/>
            </c:numRef>
          </c:val>
        </c:ser>
        <c:overlap val="100"/>
        <c:axId val="700525914"/>
        <c:axId val="1133728245"/>
      </c:barChart>
      <c:catAx>
        <c:axId val="70052591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133728245"/>
      </c:catAx>
      <c:valAx>
        <c:axId val="1133728245"/>
        <c:scaling>
          <c:orientation val="minMax"/>
          <c:max val="126.0"/>
          <c:min val="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Días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700525914"/>
        <c:crosses val="max"/>
        <c:majorUnit val="7.0"/>
      </c:valAx>
    </c:plotArea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352550" cy="342900"/>
    <xdr:pic>
      <xdr:nvPicPr>
        <xdr:cNvPr descr="Picture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390650" cy="323850"/>
    <xdr:pic>
      <xdr:nvPicPr>
        <xdr:cNvPr descr="Picture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371600" cy="323850"/>
    <xdr:pic>
      <xdr:nvPicPr>
        <xdr:cNvPr descr="Picture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3</xdr:row>
      <xdr:rowOff>152400</xdr:rowOff>
    </xdr:from>
    <xdr:ext cx="10277475" cy="8848725"/>
    <xdr:graphicFrame>
      <xdr:nvGraphicFramePr>
        <xdr:cNvPr id="81241635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0</xdr:row>
      <xdr:rowOff>0</xdr:rowOff>
    </xdr:from>
    <xdr:ext cx="1419225" cy="323850"/>
    <xdr:pic>
      <xdr:nvPicPr>
        <xdr:cNvPr descr="Picture"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085850" cy="238125"/>
    <xdr:pic>
      <xdr:nvPicPr>
        <xdr:cNvPr descr="Picture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152400</xdr:rowOff>
    </xdr:from>
    <xdr:ext cx="15173325" cy="6562725"/>
    <xdr:pic>
      <xdr:nvPicPr>
        <xdr:cNvPr descr="Picture"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381125" cy="323850"/>
    <xdr:pic>
      <xdr:nvPicPr>
        <xdr:cNvPr descr="Picture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9.0"/>
    <col customWidth="1" min="2" max="2" width="52.0"/>
    <col customWidth="1" min="3" max="3" width="19.0"/>
    <col customWidth="1" min="4" max="4" width="12.0"/>
    <col customWidth="1" min="5" max="22" width="6.14"/>
    <col customWidth="1" min="23" max="26" width="8.71"/>
  </cols>
  <sheetData>
    <row r="1" ht="25.5" customHeight="1">
      <c r="C1" s="3" t="s">
        <v>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>
      <c r="C2" s="4" t="s">
        <v>19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>
      <c r="C3" s="4" t="s">
        <v>303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5" ht="15.0" customHeight="1">
      <c r="A5" s="11" t="s">
        <v>69</v>
      </c>
      <c r="B5" s="11" t="s">
        <v>84</v>
      </c>
      <c r="C5" s="11" t="s">
        <v>88</v>
      </c>
      <c r="D5" s="11" t="s">
        <v>47</v>
      </c>
      <c r="E5" s="15" t="s">
        <v>95</v>
      </c>
      <c r="F5" s="17"/>
      <c r="G5" s="17"/>
      <c r="H5" s="19"/>
      <c r="I5" s="21" t="s">
        <v>102</v>
      </c>
      <c r="J5" s="17"/>
      <c r="K5" s="17"/>
      <c r="L5" s="17"/>
      <c r="M5" s="17"/>
      <c r="N5" s="17"/>
      <c r="O5" s="17"/>
      <c r="P5" s="17"/>
      <c r="Q5" s="17"/>
      <c r="R5" s="17"/>
      <c r="S5" s="19"/>
      <c r="T5" s="23" t="s">
        <v>118</v>
      </c>
      <c r="U5" s="17"/>
      <c r="V5" s="19"/>
    </row>
    <row r="6">
      <c r="A6" s="25"/>
      <c r="B6" s="25"/>
      <c r="C6" s="25"/>
      <c r="D6" s="25"/>
      <c r="E6" s="5" t="s">
        <v>133</v>
      </c>
      <c r="F6" s="5" t="s">
        <v>134</v>
      </c>
      <c r="G6" s="5" t="s">
        <v>135</v>
      </c>
      <c r="H6" s="5" t="s">
        <v>136</v>
      </c>
      <c r="I6" s="5" t="s">
        <v>13</v>
      </c>
      <c r="J6" s="5" t="s">
        <v>21</v>
      </c>
      <c r="K6" s="5" t="s">
        <v>27</v>
      </c>
      <c r="L6" s="5" t="s">
        <v>33</v>
      </c>
      <c r="M6" s="5" t="s">
        <v>39</v>
      </c>
      <c r="N6" s="5" t="s">
        <v>48</v>
      </c>
      <c r="O6" s="5" t="s">
        <v>57</v>
      </c>
      <c r="P6" s="5" t="s">
        <v>62</v>
      </c>
      <c r="Q6" s="5" t="s">
        <v>67</v>
      </c>
      <c r="R6" s="5" t="s">
        <v>76</v>
      </c>
      <c r="S6" s="5" t="s">
        <v>143</v>
      </c>
      <c r="T6" s="5" t="s">
        <v>144</v>
      </c>
      <c r="U6" s="5" t="s">
        <v>145</v>
      </c>
      <c r="V6" s="5" t="s">
        <v>146</v>
      </c>
    </row>
    <row r="7">
      <c r="A7" s="29"/>
      <c r="B7" s="29"/>
      <c r="C7" s="29"/>
      <c r="D7" s="29"/>
      <c r="E7" s="30" t="s">
        <v>147</v>
      </c>
      <c r="F7" s="30" t="s">
        <v>148</v>
      </c>
      <c r="G7" s="30" t="s">
        <v>149</v>
      </c>
      <c r="H7" s="30" t="s">
        <v>150</v>
      </c>
      <c r="I7" s="30" t="s">
        <v>151</v>
      </c>
      <c r="J7" s="30" t="s">
        <v>152</v>
      </c>
      <c r="K7" s="30" t="s">
        <v>153</v>
      </c>
      <c r="L7" s="30" t="s">
        <v>154</v>
      </c>
      <c r="M7" s="30" t="s">
        <v>155</v>
      </c>
      <c r="N7" s="30" t="s">
        <v>156</v>
      </c>
      <c r="O7" s="30" t="s">
        <v>157</v>
      </c>
      <c r="P7" s="30" t="s">
        <v>158</v>
      </c>
      <c r="Q7" s="30" t="s">
        <v>159</v>
      </c>
      <c r="R7" s="30" t="s">
        <v>160</v>
      </c>
      <c r="S7" s="30" t="s">
        <v>161</v>
      </c>
      <c r="T7" s="30" t="s">
        <v>162</v>
      </c>
      <c r="U7" s="30" t="s">
        <v>163</v>
      </c>
      <c r="V7" s="30" t="s">
        <v>164</v>
      </c>
    </row>
    <row r="8">
      <c r="A8" s="12" t="s">
        <v>165</v>
      </c>
      <c r="B8" s="12" t="s">
        <v>166</v>
      </c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</row>
    <row r="9" ht="18.0" customHeight="1">
      <c r="A9" s="6" t="s">
        <v>167</v>
      </c>
      <c r="B9" s="7" t="s">
        <v>168</v>
      </c>
      <c r="C9" s="7" t="s">
        <v>169</v>
      </c>
      <c r="D9" s="6" t="s">
        <v>170</v>
      </c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</row>
    <row r="10" ht="18.0" customHeight="1">
      <c r="A10" s="6" t="s">
        <v>171</v>
      </c>
      <c r="B10" s="7" t="s">
        <v>172</v>
      </c>
      <c r="C10" s="7" t="s">
        <v>169</v>
      </c>
      <c r="D10" s="6" t="s">
        <v>170</v>
      </c>
      <c r="E10" s="7"/>
      <c r="F10" s="7"/>
      <c r="G10" s="7"/>
      <c r="H10" s="7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7"/>
      <c r="T10" s="7"/>
      <c r="U10" s="7"/>
      <c r="V10" s="7"/>
    </row>
    <row r="11" ht="18.0" customHeight="1">
      <c r="A11" s="6" t="s">
        <v>173</v>
      </c>
      <c r="B11" s="7" t="s">
        <v>174</v>
      </c>
      <c r="C11" s="7" t="s">
        <v>43</v>
      </c>
      <c r="D11" s="6" t="s">
        <v>170</v>
      </c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</row>
    <row r="12" ht="18.0" customHeight="1">
      <c r="A12" s="6" t="s">
        <v>175</v>
      </c>
      <c r="B12" s="7" t="s">
        <v>176</v>
      </c>
      <c r="C12" s="7" t="s">
        <v>177</v>
      </c>
      <c r="D12" s="6" t="s">
        <v>170</v>
      </c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</row>
    <row r="13" ht="18.0" customHeight="1">
      <c r="A13" s="6" t="s">
        <v>178</v>
      </c>
      <c r="B13" s="7" t="s">
        <v>179</v>
      </c>
      <c r="C13" s="7" t="s">
        <v>169</v>
      </c>
      <c r="D13" s="6" t="s">
        <v>170</v>
      </c>
      <c r="E13" s="7"/>
      <c r="F13" s="7"/>
      <c r="G13" s="7"/>
      <c r="H13" s="7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7"/>
      <c r="T13" s="7"/>
      <c r="U13" s="7"/>
      <c r="V13" s="7"/>
    </row>
    <row r="14" ht="18.0" customHeight="1">
      <c r="A14" s="6" t="s">
        <v>180</v>
      </c>
      <c r="B14" s="7" t="s">
        <v>181</v>
      </c>
      <c r="C14" s="7" t="s">
        <v>169</v>
      </c>
      <c r="D14" s="6" t="s">
        <v>170</v>
      </c>
      <c r="E14" s="7"/>
      <c r="F14" s="7"/>
      <c r="G14" s="7"/>
      <c r="H14" s="7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7"/>
      <c r="T14" s="7"/>
      <c r="U14" s="7"/>
      <c r="V14" s="7"/>
    </row>
    <row r="15">
      <c r="A15" s="12" t="s">
        <v>182</v>
      </c>
      <c r="B15" s="12" t="s">
        <v>183</v>
      </c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</row>
    <row r="16" ht="18.0" customHeight="1">
      <c r="A16" s="6" t="s">
        <v>184</v>
      </c>
      <c r="B16" s="7" t="s">
        <v>185</v>
      </c>
      <c r="C16" s="7" t="s">
        <v>169</v>
      </c>
      <c r="D16" s="6" t="s">
        <v>186</v>
      </c>
      <c r="E16" s="33"/>
      <c r="F16" s="33"/>
      <c r="G16" s="33"/>
      <c r="H16" s="33"/>
      <c r="I16" s="7"/>
      <c r="J16" s="7"/>
      <c r="K16" s="7"/>
      <c r="L16" s="34" t="s">
        <v>187</v>
      </c>
      <c r="M16" s="7"/>
      <c r="N16" s="7"/>
      <c r="O16" s="7"/>
      <c r="P16" s="7"/>
      <c r="Q16" s="7"/>
      <c r="R16" s="7"/>
      <c r="S16" s="7"/>
      <c r="T16" s="7"/>
      <c r="U16" s="7"/>
      <c r="V16" s="7"/>
    </row>
    <row r="17" ht="18.0" customHeight="1">
      <c r="A17" s="6" t="s">
        <v>188</v>
      </c>
      <c r="B17" s="7" t="s">
        <v>189</v>
      </c>
      <c r="C17" s="7" t="s">
        <v>43</v>
      </c>
      <c r="D17" s="6" t="s">
        <v>186</v>
      </c>
      <c r="E17" s="7"/>
      <c r="F17" s="33"/>
      <c r="G17" s="33"/>
      <c r="H17" s="33"/>
      <c r="I17" s="7"/>
      <c r="J17" s="7"/>
      <c r="K17" s="34" t="s">
        <v>187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 ht="18.0" customHeight="1">
      <c r="A18" s="6" t="s">
        <v>190</v>
      </c>
      <c r="B18" s="7" t="s">
        <v>191</v>
      </c>
      <c r="C18" s="7" t="s">
        <v>18</v>
      </c>
      <c r="D18" s="6" t="s">
        <v>186</v>
      </c>
      <c r="E18" s="7"/>
      <c r="F18" s="33"/>
      <c r="G18" s="33"/>
      <c r="H18" s="33"/>
      <c r="I18" s="7"/>
      <c r="J18" s="7"/>
      <c r="K18" s="7"/>
      <c r="L18" s="34" t="s">
        <v>187</v>
      </c>
      <c r="M18" s="7"/>
      <c r="N18" s="7"/>
      <c r="O18" s="7"/>
      <c r="P18" s="7"/>
      <c r="Q18" s="7"/>
      <c r="R18" s="7"/>
      <c r="S18" s="7"/>
      <c r="T18" s="7"/>
      <c r="U18" s="7"/>
      <c r="V18" s="7"/>
    </row>
    <row r="19" ht="18.0" customHeight="1">
      <c r="A19" s="6" t="s">
        <v>192</v>
      </c>
      <c r="B19" s="7" t="s">
        <v>193</v>
      </c>
      <c r="C19" s="7" t="s">
        <v>18</v>
      </c>
      <c r="D19" s="6" t="s">
        <v>186</v>
      </c>
      <c r="E19" s="7"/>
      <c r="F19" s="33"/>
      <c r="G19" s="33"/>
      <c r="H19" s="33"/>
      <c r="I19" s="7"/>
      <c r="J19" s="7"/>
      <c r="K19" s="34" t="s">
        <v>187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</row>
    <row r="20" ht="18.0" customHeight="1">
      <c r="A20" s="6" t="s">
        <v>194</v>
      </c>
      <c r="B20" s="7" t="s">
        <v>195</v>
      </c>
      <c r="C20" s="7" t="s">
        <v>43</v>
      </c>
      <c r="D20" s="6" t="s">
        <v>186</v>
      </c>
      <c r="E20" s="7"/>
      <c r="F20" s="33"/>
      <c r="G20" s="33"/>
      <c r="H20" s="33"/>
      <c r="I20" s="7"/>
      <c r="J20" s="7"/>
      <c r="K20" s="34" t="s">
        <v>187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</row>
    <row r="21" ht="18.0" customHeight="1">
      <c r="A21" s="6" t="s">
        <v>196</v>
      </c>
      <c r="B21" s="7" t="s">
        <v>197</v>
      </c>
      <c r="C21" s="7" t="s">
        <v>43</v>
      </c>
      <c r="D21" s="6" t="s">
        <v>186</v>
      </c>
      <c r="E21" s="7"/>
      <c r="F21" s="33"/>
      <c r="G21" s="33"/>
      <c r="H21" s="33"/>
      <c r="I21" s="7"/>
      <c r="J21" s="7"/>
      <c r="K21" s="7"/>
      <c r="L21" s="34" t="s">
        <v>187</v>
      </c>
      <c r="M21" s="7"/>
      <c r="N21" s="7"/>
      <c r="O21" s="7"/>
      <c r="P21" s="7"/>
      <c r="Q21" s="7"/>
      <c r="R21" s="7"/>
      <c r="S21" s="7"/>
      <c r="T21" s="7"/>
      <c r="U21" s="7"/>
      <c r="V21" s="7"/>
    </row>
    <row r="22" ht="18.0" customHeight="1">
      <c r="A22" s="6" t="s">
        <v>198</v>
      </c>
      <c r="B22" s="7" t="s">
        <v>199</v>
      </c>
      <c r="C22" s="7" t="s">
        <v>169</v>
      </c>
      <c r="D22" s="6" t="s">
        <v>186</v>
      </c>
      <c r="E22" s="7"/>
      <c r="F22" s="7"/>
      <c r="G22" s="7"/>
      <c r="H22" s="33"/>
      <c r="I22" s="7"/>
      <c r="J22" s="7"/>
      <c r="K22" s="34" t="s">
        <v>187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</row>
    <row r="23" ht="18.0" customHeight="1">
      <c r="A23" s="6" t="s">
        <v>200</v>
      </c>
      <c r="B23" s="7" t="s">
        <v>201</v>
      </c>
      <c r="C23" s="7" t="s">
        <v>169</v>
      </c>
      <c r="D23" s="6" t="s">
        <v>186</v>
      </c>
      <c r="E23" s="7"/>
      <c r="F23" s="33"/>
      <c r="G23" s="33"/>
      <c r="H23" s="33"/>
      <c r="I23" s="7"/>
      <c r="J23" s="7"/>
      <c r="K23" s="34" t="s">
        <v>187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</row>
    <row r="24" ht="18.0" customHeight="1">
      <c r="A24" s="6" t="s">
        <v>202</v>
      </c>
      <c r="B24" s="7" t="s">
        <v>203</v>
      </c>
      <c r="C24" s="7" t="s">
        <v>43</v>
      </c>
      <c r="D24" s="6" t="s">
        <v>186</v>
      </c>
      <c r="E24" s="7"/>
      <c r="F24" s="7"/>
      <c r="G24" s="7"/>
      <c r="H24" s="33"/>
      <c r="I24" s="7"/>
      <c r="J24" s="7"/>
      <c r="K24" s="7"/>
      <c r="L24" s="34" t="s">
        <v>187</v>
      </c>
      <c r="M24" s="7"/>
      <c r="N24" s="7"/>
      <c r="O24" s="7"/>
      <c r="P24" s="7"/>
      <c r="Q24" s="7"/>
      <c r="R24" s="7"/>
      <c r="S24" s="7"/>
      <c r="T24" s="7"/>
      <c r="U24" s="7"/>
      <c r="V24" s="7"/>
    </row>
    <row r="25" ht="18.0" customHeight="1">
      <c r="A25" s="6" t="s">
        <v>204</v>
      </c>
      <c r="B25" s="7" t="s">
        <v>205</v>
      </c>
      <c r="C25" s="7" t="s">
        <v>43</v>
      </c>
      <c r="D25" s="6" t="s">
        <v>186</v>
      </c>
      <c r="E25" s="7"/>
      <c r="F25" s="33"/>
      <c r="G25" s="33"/>
      <c r="H25" s="33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</row>
    <row r="26" ht="18.0" customHeight="1">
      <c r="A26" s="6" t="s">
        <v>206</v>
      </c>
      <c r="B26" s="7" t="s">
        <v>207</v>
      </c>
      <c r="C26" s="7" t="s">
        <v>169</v>
      </c>
      <c r="D26" s="6" t="s">
        <v>186</v>
      </c>
      <c r="E26" s="7"/>
      <c r="F26" s="7"/>
      <c r="G26" s="33"/>
      <c r="H26" s="33"/>
      <c r="I26" s="7"/>
      <c r="J26" s="7"/>
      <c r="K26" s="34" t="s">
        <v>187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</row>
    <row r="27" ht="18.0" customHeight="1">
      <c r="A27" s="6" t="s">
        <v>208</v>
      </c>
      <c r="B27" s="7" t="s">
        <v>209</v>
      </c>
      <c r="C27" s="7" t="s">
        <v>43</v>
      </c>
      <c r="D27" s="6" t="s">
        <v>186</v>
      </c>
      <c r="E27" s="33"/>
      <c r="F27" s="33"/>
      <c r="G27" s="33"/>
      <c r="H27" s="33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</row>
    <row r="28" ht="18.0" customHeight="1">
      <c r="A28" s="6" t="s">
        <v>210</v>
      </c>
      <c r="B28" s="7" t="s">
        <v>211</v>
      </c>
      <c r="C28" s="7" t="s">
        <v>43</v>
      </c>
      <c r="D28" s="6" t="s">
        <v>186</v>
      </c>
      <c r="E28" s="33"/>
      <c r="F28" s="33"/>
      <c r="G28" s="33"/>
      <c r="H28" s="33"/>
      <c r="I28" s="7"/>
      <c r="J28" s="7"/>
      <c r="K28" s="7"/>
      <c r="L28" s="34" t="s">
        <v>187</v>
      </c>
      <c r="M28" s="7"/>
      <c r="N28" s="7"/>
      <c r="O28" s="7"/>
      <c r="P28" s="7"/>
      <c r="Q28" s="7"/>
      <c r="R28" s="7"/>
      <c r="S28" s="7"/>
      <c r="T28" s="7"/>
      <c r="U28" s="7"/>
      <c r="V28" s="7"/>
    </row>
    <row r="29" ht="18.0" customHeight="1">
      <c r="A29" s="6" t="s">
        <v>213</v>
      </c>
      <c r="B29" s="35" t="s">
        <v>96</v>
      </c>
      <c r="C29" s="7" t="s">
        <v>43</v>
      </c>
      <c r="D29" s="6" t="s">
        <v>214</v>
      </c>
      <c r="E29" s="7"/>
      <c r="F29" s="7"/>
      <c r="G29" s="7"/>
      <c r="H29" s="7"/>
      <c r="I29" s="36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</row>
    <row r="30" ht="15.75" customHeight="1">
      <c r="A30" s="12" t="s">
        <v>216</v>
      </c>
      <c r="B30" s="12" t="s">
        <v>217</v>
      </c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</row>
    <row r="31" ht="18.0" customHeight="1">
      <c r="A31" s="6" t="s">
        <v>218</v>
      </c>
      <c r="B31" s="7" t="s">
        <v>219</v>
      </c>
      <c r="C31" s="7" t="s">
        <v>43</v>
      </c>
      <c r="D31" s="6" t="s">
        <v>220</v>
      </c>
      <c r="E31" s="7"/>
      <c r="F31" s="7"/>
      <c r="G31" s="7"/>
      <c r="H31" s="7"/>
      <c r="I31" s="39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 ht="30.0" customHeight="1">
      <c r="A32" s="6" t="s">
        <v>225</v>
      </c>
      <c r="B32" s="7" t="s">
        <v>227</v>
      </c>
      <c r="C32" s="7" t="s">
        <v>25</v>
      </c>
      <c r="D32" s="6" t="s">
        <v>220</v>
      </c>
      <c r="E32" s="7"/>
      <c r="F32" s="7"/>
      <c r="G32" s="7"/>
      <c r="H32" s="7"/>
      <c r="I32" s="7"/>
      <c r="J32" s="39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</row>
    <row r="33" ht="30.0" customHeight="1">
      <c r="A33" s="6" t="s">
        <v>229</v>
      </c>
      <c r="B33" s="7" t="s">
        <v>230</v>
      </c>
      <c r="C33" s="7" t="s">
        <v>25</v>
      </c>
      <c r="D33" s="6" t="s">
        <v>220</v>
      </c>
      <c r="E33" s="7"/>
      <c r="F33" s="7"/>
      <c r="G33" s="7"/>
      <c r="H33" s="7"/>
      <c r="I33" s="7"/>
      <c r="J33" s="7"/>
      <c r="K33" s="39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</row>
    <row r="34" ht="18.0" customHeight="1">
      <c r="A34" s="6"/>
      <c r="B34" s="35" t="s">
        <v>231</v>
      </c>
      <c r="C34" s="7" t="s">
        <v>43</v>
      </c>
      <c r="D34" s="6" t="s">
        <v>232</v>
      </c>
      <c r="E34" s="7"/>
      <c r="F34" s="7"/>
      <c r="G34" s="7"/>
      <c r="H34" s="7"/>
      <c r="I34" s="7"/>
      <c r="J34" s="7"/>
      <c r="K34" s="36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</row>
    <row r="35" ht="18.0" customHeight="1">
      <c r="A35" s="6"/>
      <c r="B35" s="40" t="s">
        <v>233</v>
      </c>
      <c r="C35" s="7" t="s">
        <v>43</v>
      </c>
      <c r="D35" s="6" t="s">
        <v>234</v>
      </c>
      <c r="E35" s="7"/>
      <c r="F35" s="7"/>
      <c r="G35" s="7"/>
      <c r="H35" s="7"/>
      <c r="I35" s="7"/>
      <c r="J35" s="7"/>
      <c r="K35" s="7"/>
      <c r="L35" s="41"/>
      <c r="M35" s="7"/>
      <c r="N35" s="41"/>
      <c r="O35" s="7"/>
      <c r="P35" s="7"/>
      <c r="Q35" s="7"/>
      <c r="R35" s="7"/>
      <c r="S35" s="7"/>
      <c r="T35" s="7"/>
      <c r="U35" s="7"/>
      <c r="V35" s="7"/>
    </row>
    <row r="36" ht="30.0" customHeight="1">
      <c r="A36" s="6" t="s">
        <v>235</v>
      </c>
      <c r="B36" s="7" t="s">
        <v>236</v>
      </c>
      <c r="C36" s="7" t="s">
        <v>25</v>
      </c>
      <c r="D36" s="6" t="s">
        <v>220</v>
      </c>
      <c r="E36" s="7"/>
      <c r="F36" s="7"/>
      <c r="G36" s="7"/>
      <c r="H36" s="7"/>
      <c r="I36" s="7"/>
      <c r="J36" s="7"/>
      <c r="K36" s="7"/>
      <c r="L36" s="39"/>
      <c r="M36" s="7"/>
      <c r="N36" s="7"/>
      <c r="O36" s="7"/>
      <c r="P36" s="7"/>
      <c r="Q36" s="7"/>
      <c r="R36" s="7"/>
      <c r="S36" s="7"/>
      <c r="T36" s="7"/>
      <c r="U36" s="7"/>
      <c r="V36" s="7"/>
    </row>
    <row r="37" ht="18.0" customHeight="1">
      <c r="A37" s="6" t="s">
        <v>237</v>
      </c>
      <c r="B37" s="7" t="s">
        <v>238</v>
      </c>
      <c r="C37" s="7" t="s">
        <v>43</v>
      </c>
      <c r="D37" s="6" t="s">
        <v>220</v>
      </c>
      <c r="E37" s="7"/>
      <c r="F37" s="7"/>
      <c r="G37" s="7"/>
      <c r="H37" s="7"/>
      <c r="I37" s="7"/>
      <c r="J37" s="7"/>
      <c r="K37" s="7"/>
      <c r="L37" s="7"/>
      <c r="M37" s="39"/>
      <c r="N37" s="7"/>
      <c r="O37" s="7"/>
      <c r="P37" s="7"/>
      <c r="Q37" s="7"/>
      <c r="R37" s="7"/>
      <c r="S37" s="7"/>
      <c r="T37" s="7"/>
      <c r="U37" s="7"/>
      <c r="V37" s="7"/>
    </row>
    <row r="38" ht="18.0" customHeight="1">
      <c r="A38" s="6" t="s">
        <v>239</v>
      </c>
      <c r="B38" s="7" t="s">
        <v>240</v>
      </c>
      <c r="C38" s="7" t="s">
        <v>25</v>
      </c>
      <c r="D38" s="6" t="s">
        <v>220</v>
      </c>
      <c r="E38" s="7"/>
      <c r="F38" s="7"/>
      <c r="G38" s="7"/>
      <c r="H38" s="7"/>
      <c r="I38" s="7"/>
      <c r="J38" s="7"/>
      <c r="K38" s="7"/>
      <c r="L38" s="7"/>
      <c r="M38" s="7"/>
      <c r="N38" s="39"/>
      <c r="O38" s="7"/>
      <c r="P38" s="7"/>
      <c r="Q38" s="7"/>
      <c r="R38" s="7"/>
      <c r="S38" s="7"/>
      <c r="T38" s="7"/>
      <c r="U38" s="7"/>
      <c r="V38" s="7"/>
    </row>
    <row r="39" ht="18.0" customHeight="1">
      <c r="A39" s="6"/>
      <c r="B39" s="35" t="s">
        <v>241</v>
      </c>
      <c r="C39" s="7" t="s">
        <v>43</v>
      </c>
      <c r="D39" s="6" t="s">
        <v>232</v>
      </c>
      <c r="E39" s="7"/>
      <c r="F39" s="7"/>
      <c r="G39" s="7"/>
      <c r="H39" s="7"/>
      <c r="I39" s="7"/>
      <c r="J39" s="7"/>
      <c r="K39" s="7"/>
      <c r="L39" s="7"/>
      <c r="M39" s="7"/>
      <c r="N39" s="36"/>
      <c r="O39" s="7"/>
      <c r="P39" s="7"/>
      <c r="Q39" s="7"/>
      <c r="R39" s="7"/>
      <c r="S39" s="7"/>
      <c r="T39" s="7"/>
      <c r="U39" s="7"/>
      <c r="V39" s="7"/>
    </row>
    <row r="40" ht="30.0" customHeight="1">
      <c r="A40" s="6" t="s">
        <v>242</v>
      </c>
      <c r="B40" s="7" t="s">
        <v>304</v>
      </c>
      <c r="C40" s="7" t="s">
        <v>25</v>
      </c>
      <c r="D40" s="6" t="s">
        <v>220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39"/>
      <c r="P40" s="7"/>
      <c r="Q40" s="7"/>
      <c r="R40" s="7"/>
      <c r="S40" s="7"/>
      <c r="T40" s="7"/>
      <c r="U40" s="7"/>
      <c r="V40" s="7"/>
    </row>
    <row r="41" ht="18.0" customHeight="1">
      <c r="A41" s="6" t="s">
        <v>244</v>
      </c>
      <c r="B41" s="7" t="s">
        <v>246</v>
      </c>
      <c r="C41" s="7" t="s">
        <v>25</v>
      </c>
      <c r="D41" s="6" t="s">
        <v>220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39"/>
      <c r="Q41" s="7"/>
      <c r="R41" s="7"/>
      <c r="S41" s="7"/>
      <c r="T41" s="7"/>
      <c r="U41" s="7"/>
      <c r="V41" s="7"/>
    </row>
    <row r="42" ht="18.0" customHeight="1">
      <c r="A42" s="6"/>
      <c r="B42" s="40" t="s">
        <v>248</v>
      </c>
      <c r="C42" s="7" t="s">
        <v>43</v>
      </c>
      <c r="D42" s="6" t="s">
        <v>234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41"/>
      <c r="Q42" s="7"/>
      <c r="R42" s="7"/>
      <c r="S42" s="7"/>
      <c r="T42" s="7"/>
      <c r="U42" s="7"/>
      <c r="V42" s="7"/>
    </row>
    <row r="43" ht="18.0" customHeight="1">
      <c r="A43" s="6" t="s">
        <v>250</v>
      </c>
      <c r="B43" s="7" t="s">
        <v>251</v>
      </c>
      <c r="C43" s="7" t="s">
        <v>25</v>
      </c>
      <c r="D43" s="6" t="s">
        <v>220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39"/>
      <c r="R43" s="7"/>
      <c r="S43" s="7"/>
      <c r="T43" s="7"/>
      <c r="U43" s="7"/>
      <c r="V43" s="7"/>
    </row>
    <row r="44" ht="30.0" customHeight="1">
      <c r="A44" s="6" t="s">
        <v>255</v>
      </c>
      <c r="B44" s="7" t="s">
        <v>256</v>
      </c>
      <c r="C44" s="7" t="s">
        <v>43</v>
      </c>
      <c r="D44" s="6" t="s">
        <v>220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39"/>
      <c r="S44" s="7"/>
      <c r="T44" s="7"/>
      <c r="U44" s="7"/>
      <c r="V44" s="7"/>
    </row>
    <row r="45" ht="18.0" customHeight="1">
      <c r="A45" s="6"/>
      <c r="B45" s="35" t="s">
        <v>257</v>
      </c>
      <c r="C45" s="7" t="s">
        <v>43</v>
      </c>
      <c r="D45" s="6" t="s">
        <v>232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36"/>
      <c r="S45" s="7"/>
      <c r="T45" s="7"/>
      <c r="U45" s="7"/>
      <c r="V45" s="7"/>
    </row>
    <row r="46" ht="18.0" customHeight="1">
      <c r="A46" s="6" t="s">
        <v>263</v>
      </c>
      <c r="B46" s="7" t="s">
        <v>265</v>
      </c>
      <c r="C46" s="7" t="s">
        <v>25</v>
      </c>
      <c r="D46" s="6" t="s">
        <v>220</v>
      </c>
      <c r="E46" s="7"/>
      <c r="F46" s="7"/>
      <c r="G46" s="7"/>
      <c r="H46" s="7"/>
      <c r="I46" s="7"/>
      <c r="J46" s="39"/>
      <c r="K46" s="39"/>
      <c r="L46" s="39"/>
      <c r="M46" s="39"/>
      <c r="N46" s="39"/>
      <c r="O46" s="39"/>
      <c r="P46" s="39"/>
      <c r="Q46" s="39"/>
      <c r="R46" s="39"/>
      <c r="S46" s="7"/>
      <c r="T46" s="7"/>
      <c r="U46" s="7"/>
      <c r="V46" s="7"/>
    </row>
    <row r="47" ht="18.0" customHeight="1">
      <c r="A47" s="6" t="s">
        <v>270</v>
      </c>
      <c r="B47" s="7" t="s">
        <v>271</v>
      </c>
      <c r="C47" s="7" t="s">
        <v>169</v>
      </c>
      <c r="D47" s="6" t="s">
        <v>220</v>
      </c>
      <c r="E47" s="7"/>
      <c r="F47" s="7"/>
      <c r="G47" s="7"/>
      <c r="H47" s="7"/>
      <c r="I47" s="7"/>
      <c r="J47" s="7"/>
      <c r="K47" s="39"/>
      <c r="L47" s="39"/>
      <c r="M47" s="39"/>
      <c r="N47" s="39"/>
      <c r="O47" s="39"/>
      <c r="P47" s="39"/>
      <c r="Q47" s="39"/>
      <c r="R47" s="39"/>
      <c r="S47" s="7"/>
      <c r="T47" s="7"/>
      <c r="U47" s="7"/>
      <c r="V47" s="7"/>
    </row>
    <row r="48" ht="18.0" customHeight="1">
      <c r="A48" s="6" t="s">
        <v>272</v>
      </c>
      <c r="B48" s="7" t="s">
        <v>273</v>
      </c>
      <c r="C48" s="7" t="s">
        <v>18</v>
      </c>
      <c r="D48" s="6" t="s">
        <v>220</v>
      </c>
      <c r="E48" s="7"/>
      <c r="F48" s="7"/>
      <c r="G48" s="7"/>
      <c r="H48" s="7"/>
      <c r="I48" s="7"/>
      <c r="J48" s="7"/>
      <c r="K48" s="39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 ht="18.0" customHeight="1">
      <c r="A49" s="6" t="s">
        <v>274</v>
      </c>
      <c r="B49" s="7" t="s">
        <v>275</v>
      </c>
      <c r="C49" s="7" t="s">
        <v>43</v>
      </c>
      <c r="D49" s="6" t="s">
        <v>220</v>
      </c>
      <c r="E49" s="7"/>
      <c r="F49" s="7"/>
      <c r="G49" s="7"/>
      <c r="H49" s="7"/>
      <c r="I49" s="7"/>
      <c r="J49" s="7"/>
      <c r="K49" s="7"/>
      <c r="L49" s="39"/>
      <c r="M49" s="7"/>
      <c r="N49" s="7"/>
      <c r="O49" s="7"/>
      <c r="P49" s="7"/>
      <c r="Q49" s="7"/>
      <c r="R49" s="7"/>
      <c r="S49" s="7"/>
      <c r="T49" s="7"/>
      <c r="U49" s="7"/>
      <c r="V49" s="7"/>
    </row>
    <row r="50" ht="18.0" customHeight="1">
      <c r="A50" s="6" t="s">
        <v>276</v>
      </c>
      <c r="B50" s="7" t="s">
        <v>277</v>
      </c>
      <c r="C50" s="7" t="s">
        <v>43</v>
      </c>
      <c r="D50" s="6" t="s">
        <v>220</v>
      </c>
      <c r="E50" s="7"/>
      <c r="F50" s="7"/>
      <c r="G50" s="7"/>
      <c r="H50" s="7"/>
      <c r="I50" s="7"/>
      <c r="J50" s="7"/>
      <c r="K50" s="7"/>
      <c r="L50" s="39"/>
      <c r="M50" s="7"/>
      <c r="N50" s="7"/>
      <c r="O50" s="7"/>
      <c r="P50" s="7"/>
      <c r="Q50" s="7"/>
      <c r="R50" s="7"/>
      <c r="S50" s="7"/>
      <c r="T50" s="7"/>
      <c r="U50" s="7"/>
      <c r="V50" s="7"/>
    </row>
    <row r="51" ht="18.0" customHeight="1">
      <c r="A51" s="6" t="s">
        <v>278</v>
      </c>
      <c r="B51" s="35" t="s">
        <v>108</v>
      </c>
      <c r="C51" s="7" t="s">
        <v>43</v>
      </c>
      <c r="D51" s="6" t="s">
        <v>214</v>
      </c>
      <c r="E51" s="7"/>
      <c r="F51" s="7"/>
      <c r="G51" s="7"/>
      <c r="H51" s="7"/>
      <c r="I51" s="7"/>
      <c r="J51" s="7"/>
      <c r="K51" s="7"/>
      <c r="L51" s="7"/>
      <c r="M51" s="36"/>
      <c r="N51" s="7"/>
      <c r="O51" s="7"/>
      <c r="P51" s="7"/>
      <c r="Q51" s="7"/>
      <c r="R51" s="7"/>
      <c r="S51" s="7"/>
      <c r="T51" s="7"/>
      <c r="U51" s="7"/>
      <c r="V51" s="7"/>
    </row>
    <row r="52" ht="18.0" customHeight="1">
      <c r="A52" s="6" t="s">
        <v>279</v>
      </c>
      <c r="B52" s="35" t="s">
        <v>111</v>
      </c>
      <c r="C52" s="7" t="s">
        <v>43</v>
      </c>
      <c r="D52" s="6" t="s">
        <v>214</v>
      </c>
      <c r="E52" s="7"/>
      <c r="F52" s="7"/>
      <c r="G52" s="7"/>
      <c r="H52" s="7"/>
      <c r="I52" s="7"/>
      <c r="J52" s="7"/>
      <c r="K52" s="7"/>
      <c r="L52" s="7"/>
      <c r="M52" s="7"/>
      <c r="N52" s="36"/>
      <c r="O52" s="7"/>
      <c r="P52" s="7"/>
      <c r="Q52" s="7"/>
      <c r="R52" s="7"/>
      <c r="S52" s="7"/>
      <c r="T52" s="7"/>
      <c r="U52" s="7"/>
      <c r="V52" s="7"/>
    </row>
    <row r="53" ht="18.0" customHeight="1">
      <c r="A53" s="6"/>
      <c r="B53" s="35" t="s">
        <v>115</v>
      </c>
      <c r="C53" s="7" t="s">
        <v>43</v>
      </c>
      <c r="D53" s="6" t="s">
        <v>214</v>
      </c>
      <c r="E53" s="7"/>
      <c r="F53" s="7"/>
      <c r="G53" s="7"/>
      <c r="H53" s="7"/>
      <c r="I53" s="7"/>
      <c r="J53" s="7"/>
      <c r="K53" s="7"/>
      <c r="L53" s="7"/>
      <c r="M53" s="7"/>
      <c r="N53" s="7"/>
      <c r="O53" s="36"/>
      <c r="P53" s="7"/>
      <c r="Q53" s="7"/>
      <c r="R53" s="7"/>
      <c r="S53" s="7"/>
      <c r="T53" s="7"/>
      <c r="U53" s="7"/>
      <c r="V53" s="7"/>
    </row>
    <row r="54" ht="18.0" customHeight="1">
      <c r="A54" s="6" t="s">
        <v>280</v>
      </c>
      <c r="B54" s="35" t="s">
        <v>281</v>
      </c>
      <c r="C54" s="7" t="s">
        <v>43</v>
      </c>
      <c r="D54" s="6" t="s">
        <v>214</v>
      </c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36"/>
      <c r="R54" s="7"/>
      <c r="S54" s="7"/>
      <c r="T54" s="7"/>
      <c r="U54" s="7"/>
      <c r="V54" s="7"/>
    </row>
    <row r="55" ht="18.0" customHeight="1">
      <c r="A55" s="6" t="s">
        <v>282</v>
      </c>
      <c r="B55" s="35" t="s">
        <v>127</v>
      </c>
      <c r="C55" s="7" t="s">
        <v>43</v>
      </c>
      <c r="D55" s="6" t="s">
        <v>214</v>
      </c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36"/>
      <c r="T55" s="7"/>
      <c r="U55" s="7"/>
      <c r="V55" s="7"/>
    </row>
    <row r="56" ht="18.0" customHeight="1">
      <c r="A56" s="6"/>
      <c r="B56" s="40" t="s">
        <v>283</v>
      </c>
      <c r="C56" s="7" t="s">
        <v>43</v>
      </c>
      <c r="D56" s="6" t="s">
        <v>234</v>
      </c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41"/>
      <c r="T56" s="41"/>
      <c r="U56" s="7"/>
      <c r="V56" s="7"/>
    </row>
    <row r="57" ht="15.75" customHeight="1">
      <c r="A57" s="12" t="s">
        <v>284</v>
      </c>
      <c r="B57" s="12" t="s">
        <v>285</v>
      </c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</row>
    <row r="58" ht="18.0" customHeight="1">
      <c r="A58" s="6" t="s">
        <v>286</v>
      </c>
      <c r="B58" s="7" t="s">
        <v>287</v>
      </c>
      <c r="C58" s="7" t="s">
        <v>43</v>
      </c>
      <c r="D58" s="6" t="s">
        <v>288</v>
      </c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39"/>
      <c r="T58" s="7"/>
      <c r="U58" s="7"/>
      <c r="V58" s="7"/>
    </row>
    <row r="59" ht="18.0" customHeight="1">
      <c r="A59" s="6" t="s">
        <v>289</v>
      </c>
      <c r="B59" s="7" t="s">
        <v>290</v>
      </c>
      <c r="C59" s="7" t="s">
        <v>43</v>
      </c>
      <c r="D59" s="6" t="s">
        <v>288</v>
      </c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44"/>
      <c r="U59" s="7"/>
      <c r="V59" s="7"/>
    </row>
    <row r="60" ht="18.0" customHeight="1">
      <c r="A60" s="6" t="s">
        <v>291</v>
      </c>
      <c r="B60" s="7" t="s">
        <v>292</v>
      </c>
      <c r="C60" s="7" t="s">
        <v>43</v>
      </c>
      <c r="D60" s="6" t="s">
        <v>288</v>
      </c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44"/>
      <c r="U60" s="44"/>
      <c r="V60" s="7"/>
    </row>
    <row r="61" ht="18.0" customHeight="1">
      <c r="A61" s="6" t="s">
        <v>293</v>
      </c>
      <c r="B61" s="35" t="s">
        <v>139</v>
      </c>
      <c r="C61" s="7" t="s">
        <v>43</v>
      </c>
      <c r="D61" s="6" t="s">
        <v>214</v>
      </c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36"/>
      <c r="V61" s="7"/>
    </row>
    <row r="62" ht="18.0" customHeight="1">
      <c r="A62" s="6" t="s">
        <v>294</v>
      </c>
      <c r="B62" s="35" t="s">
        <v>142</v>
      </c>
      <c r="C62" s="7" t="s">
        <v>43</v>
      </c>
      <c r="D62" s="6" t="s">
        <v>214</v>
      </c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36"/>
    </row>
    <row r="63" ht="15.75" customHeight="1"/>
    <row r="64" ht="15.75" customHeight="1">
      <c r="B64" s="45" t="s">
        <v>295</v>
      </c>
    </row>
    <row r="65" ht="15.75" customHeight="1">
      <c r="A65" s="46"/>
      <c r="B65" s="47" t="s">
        <v>296</v>
      </c>
    </row>
    <row r="66" ht="15.75" customHeight="1">
      <c r="A66" s="48"/>
      <c r="B66" s="47" t="s">
        <v>297</v>
      </c>
    </row>
    <row r="67" ht="15.75" customHeight="1">
      <c r="A67" s="49"/>
      <c r="B67" s="47" t="s">
        <v>298</v>
      </c>
    </row>
    <row r="68" ht="15.75" customHeight="1">
      <c r="A68" s="50"/>
      <c r="B68" s="47" t="s">
        <v>299</v>
      </c>
    </row>
    <row r="69" ht="15.75" customHeight="1">
      <c r="A69" s="51"/>
      <c r="B69" s="47" t="s">
        <v>300</v>
      </c>
    </row>
    <row r="70" ht="15.75" customHeight="1">
      <c r="A70" s="52"/>
      <c r="B70" s="47" t="s">
        <v>301</v>
      </c>
    </row>
    <row r="71" ht="15.75" customHeight="1">
      <c r="A71" s="53" t="s">
        <v>187</v>
      </c>
      <c r="B71" s="47" t="s">
        <v>302</v>
      </c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5:A7"/>
    <mergeCell ref="B5:B7"/>
    <mergeCell ref="C5:C7"/>
    <mergeCell ref="D5:D7"/>
    <mergeCell ref="E5:H5"/>
    <mergeCell ref="I5:S5"/>
    <mergeCell ref="T5:V5"/>
  </mergeCells>
  <printOptions/>
  <pageMargins bottom="1.0" footer="0.0" header="0.0" left="0.75" right="0.75" top="1.0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9.0"/>
    <col customWidth="1" min="2" max="3" width="12.0"/>
    <col customWidth="1" min="4" max="4" width="24.0"/>
    <col customWidth="1" min="5" max="5" width="14.0"/>
    <col customWidth="1" min="6" max="6" width="18.0"/>
    <col customWidth="1" min="7" max="8" width="38.0"/>
    <col customWidth="1" min="9" max="26" width="8.71"/>
  </cols>
  <sheetData>
    <row r="1">
      <c r="C1" s="1" t="s">
        <v>3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>
      <c r="C2" s="4" t="s">
        <v>15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>
      <c r="A4" s="5" t="s">
        <v>5</v>
      </c>
      <c r="B4" s="5" t="s">
        <v>44</v>
      </c>
      <c r="C4" s="5" t="s">
        <v>45</v>
      </c>
      <c r="D4" s="5" t="s">
        <v>47</v>
      </c>
      <c r="E4" s="5" t="s">
        <v>4</v>
      </c>
      <c r="F4" s="5" t="s">
        <v>51</v>
      </c>
      <c r="G4" s="5" t="s">
        <v>53</v>
      </c>
      <c r="H4" s="5" t="s">
        <v>55</v>
      </c>
    </row>
    <row r="5" ht="27.75" customHeight="1">
      <c r="A5" s="9">
        <v>1.0</v>
      </c>
      <c r="B5" s="9" t="s">
        <v>72</v>
      </c>
      <c r="C5" s="9" t="s">
        <v>73</v>
      </c>
      <c r="D5" s="10" t="s">
        <v>75</v>
      </c>
      <c r="E5" s="9"/>
      <c r="F5" s="9"/>
      <c r="G5" s="10"/>
      <c r="H5" s="10"/>
    </row>
    <row r="6" ht="27.75" customHeight="1">
      <c r="A6" s="9">
        <v>2.0</v>
      </c>
      <c r="B6" s="9" t="s">
        <v>81</v>
      </c>
      <c r="C6" s="9" t="s">
        <v>83</v>
      </c>
      <c r="D6" s="10" t="s">
        <v>75</v>
      </c>
      <c r="E6" s="9"/>
      <c r="F6" s="9"/>
      <c r="G6" s="10"/>
      <c r="H6" s="10"/>
    </row>
    <row r="7" ht="27.75" customHeight="1">
      <c r="A7" s="9">
        <v>3.0</v>
      </c>
      <c r="B7" s="9" t="s">
        <v>86</v>
      </c>
      <c r="C7" s="9" t="s">
        <v>87</v>
      </c>
      <c r="D7" s="10" t="s">
        <v>75</v>
      </c>
      <c r="E7" s="9"/>
      <c r="F7" s="9"/>
      <c r="G7" s="10"/>
      <c r="H7" s="10"/>
    </row>
    <row r="8" ht="27.75" customHeight="1">
      <c r="A8" s="9">
        <v>4.0</v>
      </c>
      <c r="B8" s="9" t="s">
        <v>89</v>
      </c>
      <c r="C8" s="9" t="s">
        <v>90</v>
      </c>
      <c r="D8" s="10" t="s">
        <v>75</v>
      </c>
      <c r="E8" s="9"/>
      <c r="F8" s="9"/>
      <c r="G8" s="13" t="s">
        <v>91</v>
      </c>
      <c r="H8" s="10"/>
    </row>
    <row r="9" ht="27.75" customHeight="1">
      <c r="A9" s="9">
        <v>5.0</v>
      </c>
      <c r="B9" s="9" t="s">
        <v>92</v>
      </c>
      <c r="C9" s="9" t="s">
        <v>93</v>
      </c>
      <c r="D9" s="10" t="s">
        <v>94</v>
      </c>
      <c r="E9" s="9" t="s">
        <v>12</v>
      </c>
      <c r="F9" s="9"/>
      <c r="G9" s="13" t="s">
        <v>96</v>
      </c>
      <c r="H9" s="10"/>
    </row>
    <row r="10" ht="27.75" customHeight="1">
      <c r="A10" s="16">
        <v>6.0</v>
      </c>
      <c r="B10" s="16" t="s">
        <v>97</v>
      </c>
      <c r="C10" s="16" t="s">
        <v>98</v>
      </c>
      <c r="D10" s="18" t="s">
        <v>99</v>
      </c>
      <c r="E10" s="16" t="s">
        <v>20</v>
      </c>
      <c r="F10" s="16"/>
      <c r="G10" s="18"/>
      <c r="H10" s="18"/>
    </row>
    <row r="11" ht="27.75" customHeight="1">
      <c r="A11" s="16">
        <v>7.0</v>
      </c>
      <c r="B11" s="16" t="s">
        <v>100</v>
      </c>
      <c r="C11" s="16" t="s">
        <v>101</v>
      </c>
      <c r="D11" s="18" t="s">
        <v>99</v>
      </c>
      <c r="E11" s="16" t="s">
        <v>26</v>
      </c>
      <c r="F11" s="16" t="s">
        <v>31</v>
      </c>
      <c r="G11" s="18"/>
      <c r="H11" s="18"/>
    </row>
    <row r="12" ht="27.75" customHeight="1">
      <c r="A12" s="16">
        <v>8.0</v>
      </c>
      <c r="B12" s="16" t="s">
        <v>103</v>
      </c>
      <c r="C12" s="16" t="s">
        <v>104</v>
      </c>
      <c r="D12" s="18" t="s">
        <v>99</v>
      </c>
      <c r="E12" s="16" t="s">
        <v>32</v>
      </c>
      <c r="F12" s="16"/>
      <c r="G12" s="18"/>
      <c r="H12" s="20" t="s">
        <v>105</v>
      </c>
    </row>
    <row r="13" ht="27.75" customHeight="1">
      <c r="A13" s="16">
        <v>9.0</v>
      </c>
      <c r="B13" s="16" t="s">
        <v>106</v>
      </c>
      <c r="C13" s="16" t="s">
        <v>107</v>
      </c>
      <c r="D13" s="18" t="s">
        <v>99</v>
      </c>
      <c r="E13" s="16" t="s">
        <v>38</v>
      </c>
      <c r="F13" s="16"/>
      <c r="G13" s="22" t="s">
        <v>108</v>
      </c>
      <c r="H13" s="18"/>
    </row>
    <row r="14" ht="27.75" customHeight="1">
      <c r="A14" s="16">
        <v>10.0</v>
      </c>
      <c r="B14" s="16" t="s">
        <v>109</v>
      </c>
      <c r="C14" s="16" t="s">
        <v>110</v>
      </c>
      <c r="D14" s="18" t="s">
        <v>99</v>
      </c>
      <c r="E14" s="16" t="s">
        <v>46</v>
      </c>
      <c r="F14" s="16" t="s">
        <v>54</v>
      </c>
      <c r="G14" s="22" t="s">
        <v>111</v>
      </c>
      <c r="H14" s="20" t="s">
        <v>112</v>
      </c>
    </row>
    <row r="15" ht="27.75" customHeight="1">
      <c r="A15" s="16">
        <v>11.0</v>
      </c>
      <c r="B15" s="16" t="s">
        <v>113</v>
      </c>
      <c r="C15" s="16" t="s">
        <v>114</v>
      </c>
      <c r="D15" s="18" t="s">
        <v>99</v>
      </c>
      <c r="E15" s="16" t="s">
        <v>56</v>
      </c>
      <c r="F15" s="16"/>
      <c r="G15" s="22" t="s">
        <v>115</v>
      </c>
      <c r="H15" s="18"/>
    </row>
    <row r="16" ht="27.75" customHeight="1">
      <c r="A16" s="16">
        <v>12.0</v>
      </c>
      <c r="B16" s="16" t="s">
        <v>116</v>
      </c>
      <c r="C16" s="16" t="s">
        <v>117</v>
      </c>
      <c r="D16" s="18" t="s">
        <v>99</v>
      </c>
      <c r="E16" s="16" t="s">
        <v>61</v>
      </c>
      <c r="F16" s="16"/>
      <c r="G16" s="18"/>
      <c r="H16" s="20" t="s">
        <v>119</v>
      </c>
    </row>
    <row r="17" ht="27.75" customHeight="1">
      <c r="A17" s="16">
        <v>13.0</v>
      </c>
      <c r="B17" s="16" t="s">
        <v>120</v>
      </c>
      <c r="C17" s="16" t="s">
        <v>121</v>
      </c>
      <c r="D17" s="18" t="s">
        <v>99</v>
      </c>
      <c r="E17" s="16" t="s">
        <v>66</v>
      </c>
      <c r="F17" s="16"/>
      <c r="G17" s="22" t="s">
        <v>122</v>
      </c>
      <c r="H17" s="18"/>
    </row>
    <row r="18" ht="27.75" customHeight="1">
      <c r="A18" s="16">
        <v>14.0</v>
      </c>
      <c r="B18" s="16" t="s">
        <v>123</v>
      </c>
      <c r="C18" s="16" t="s">
        <v>124</v>
      </c>
      <c r="D18" s="18" t="s">
        <v>99</v>
      </c>
      <c r="E18" s="16" t="s">
        <v>74</v>
      </c>
      <c r="F18" s="16" t="s">
        <v>82</v>
      </c>
      <c r="G18" s="18"/>
      <c r="H18" s="18"/>
    </row>
    <row r="19" ht="27.75" customHeight="1">
      <c r="A19" s="16">
        <v>15.0</v>
      </c>
      <c r="B19" s="16" t="s">
        <v>125</v>
      </c>
      <c r="C19" s="16" t="s">
        <v>126</v>
      </c>
      <c r="D19" s="18" t="s">
        <v>99</v>
      </c>
      <c r="E19" s="16"/>
      <c r="F19" s="16"/>
      <c r="G19" s="22" t="s">
        <v>127</v>
      </c>
      <c r="H19" s="20" t="s">
        <v>128</v>
      </c>
    </row>
    <row r="20" ht="27.75" customHeight="1">
      <c r="A20" s="24">
        <v>16.0</v>
      </c>
      <c r="B20" s="24" t="s">
        <v>129</v>
      </c>
      <c r="C20" s="24" t="s">
        <v>130</v>
      </c>
      <c r="D20" s="26" t="s">
        <v>131</v>
      </c>
      <c r="E20" s="24"/>
      <c r="F20" s="24"/>
      <c r="G20" s="27" t="s">
        <v>132</v>
      </c>
      <c r="H20" s="28" t="s">
        <v>128</v>
      </c>
    </row>
    <row r="21" ht="27.75" customHeight="1">
      <c r="A21" s="24">
        <v>17.0</v>
      </c>
      <c r="B21" s="24" t="s">
        <v>137</v>
      </c>
      <c r="C21" s="24" t="s">
        <v>138</v>
      </c>
      <c r="D21" s="26" t="s">
        <v>131</v>
      </c>
      <c r="E21" s="24"/>
      <c r="F21" s="24"/>
      <c r="G21" s="27" t="s">
        <v>139</v>
      </c>
      <c r="H21" s="26"/>
    </row>
    <row r="22" ht="27.75" customHeight="1">
      <c r="A22" s="24">
        <v>18.0</v>
      </c>
      <c r="B22" s="24" t="s">
        <v>140</v>
      </c>
      <c r="C22" s="24" t="s">
        <v>141</v>
      </c>
      <c r="D22" s="26" t="s">
        <v>131</v>
      </c>
      <c r="E22" s="24"/>
      <c r="F22" s="24"/>
      <c r="G22" s="27" t="s">
        <v>142</v>
      </c>
      <c r="H22" s="2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fitToHeight="0"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8.0"/>
    <col customWidth="1" min="3" max="3" width="20.0"/>
    <col customWidth="1" min="4" max="4" width="52.0"/>
    <col customWidth="1" min="5" max="5" width="36.0"/>
    <col customWidth="1" min="6" max="6" width="20.0"/>
    <col customWidth="1" min="7" max="7" width="9.0"/>
    <col customWidth="1" min="8" max="8" width="12.0"/>
    <col customWidth="1" min="9" max="26" width="8.71"/>
  </cols>
  <sheetData>
    <row r="1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  <c r="H4" s="5" t="s">
        <v>11</v>
      </c>
    </row>
    <row r="5" ht="31.5" customHeight="1">
      <c r="A5" s="6" t="s">
        <v>12</v>
      </c>
      <c r="B5" s="6" t="s">
        <v>13</v>
      </c>
      <c r="C5" s="6" t="s">
        <v>14</v>
      </c>
      <c r="D5" s="7" t="s">
        <v>16</v>
      </c>
      <c r="E5" s="7" t="s">
        <v>17</v>
      </c>
      <c r="F5" s="7" t="s">
        <v>18</v>
      </c>
      <c r="G5" s="6">
        <v>4.0</v>
      </c>
      <c r="H5" s="6"/>
    </row>
    <row r="6" ht="31.5" customHeight="1">
      <c r="A6" s="6" t="s">
        <v>20</v>
      </c>
      <c r="B6" s="6" t="s">
        <v>21</v>
      </c>
      <c r="C6" s="6" t="s">
        <v>22</v>
      </c>
      <c r="D6" s="7" t="s">
        <v>23</v>
      </c>
      <c r="E6" s="7" t="s">
        <v>24</v>
      </c>
      <c r="F6" s="7" t="s">
        <v>25</v>
      </c>
      <c r="G6" s="6">
        <v>5.0</v>
      </c>
      <c r="H6" s="6"/>
    </row>
    <row r="7" ht="47.25" customHeight="1">
      <c r="A7" s="6" t="s">
        <v>26</v>
      </c>
      <c r="B7" s="6" t="s">
        <v>27</v>
      </c>
      <c r="C7" s="6" t="s">
        <v>28</v>
      </c>
      <c r="D7" s="7" t="s">
        <v>29</v>
      </c>
      <c r="E7" s="7" t="s">
        <v>30</v>
      </c>
      <c r="F7" s="7" t="s">
        <v>25</v>
      </c>
      <c r="G7" s="6">
        <v>26.0</v>
      </c>
      <c r="H7" s="8" t="s">
        <v>31</v>
      </c>
    </row>
    <row r="8" ht="31.5" customHeight="1">
      <c r="A8" s="6" t="s">
        <v>32</v>
      </c>
      <c r="B8" s="6" t="s">
        <v>33</v>
      </c>
      <c r="C8" s="6" t="s">
        <v>34</v>
      </c>
      <c r="D8" s="7" t="s">
        <v>35</v>
      </c>
      <c r="E8" s="7" t="s">
        <v>36</v>
      </c>
      <c r="F8" s="7" t="s">
        <v>25</v>
      </c>
      <c r="G8" s="6">
        <v>11.0</v>
      </c>
      <c r="H8" s="6"/>
    </row>
    <row r="9" ht="31.5" customHeight="1">
      <c r="A9" s="6" t="s">
        <v>38</v>
      </c>
      <c r="B9" s="6" t="s">
        <v>39</v>
      </c>
      <c r="C9" s="6" t="s">
        <v>40</v>
      </c>
      <c r="D9" s="7" t="s">
        <v>41</v>
      </c>
      <c r="E9" s="7" t="s">
        <v>42</v>
      </c>
      <c r="F9" s="7" t="s">
        <v>43</v>
      </c>
      <c r="G9" s="6">
        <v>10.0</v>
      </c>
      <c r="H9" s="6"/>
    </row>
    <row r="10" ht="31.5" customHeight="1">
      <c r="A10" s="6" t="s">
        <v>46</v>
      </c>
      <c r="B10" s="6" t="s">
        <v>48</v>
      </c>
      <c r="C10" s="6" t="s">
        <v>49</v>
      </c>
      <c r="D10" s="7" t="s">
        <v>50</v>
      </c>
      <c r="E10" s="7" t="s">
        <v>52</v>
      </c>
      <c r="F10" s="7" t="s">
        <v>25</v>
      </c>
      <c r="G10" s="6">
        <v>5.0</v>
      </c>
      <c r="H10" s="8" t="s">
        <v>54</v>
      </c>
    </row>
    <row r="11" ht="31.5" customHeight="1">
      <c r="A11" s="6" t="s">
        <v>56</v>
      </c>
      <c r="B11" s="6" t="s">
        <v>57</v>
      </c>
      <c r="C11" s="6" t="s">
        <v>58</v>
      </c>
      <c r="D11" s="7" t="s">
        <v>305</v>
      </c>
      <c r="E11" s="7" t="s">
        <v>60</v>
      </c>
      <c r="F11" s="7" t="s">
        <v>25</v>
      </c>
      <c r="G11" s="6">
        <v>7.0</v>
      </c>
      <c r="H11" s="6"/>
    </row>
    <row r="12" ht="31.5" customHeight="1">
      <c r="A12" s="6" t="s">
        <v>61</v>
      </c>
      <c r="B12" s="6" t="s">
        <v>62</v>
      </c>
      <c r="C12" s="6" t="s">
        <v>63</v>
      </c>
      <c r="D12" s="7" t="s">
        <v>64</v>
      </c>
      <c r="E12" s="7" t="s">
        <v>65</v>
      </c>
      <c r="F12" s="7" t="s">
        <v>25</v>
      </c>
      <c r="G12" s="6">
        <v>7.0</v>
      </c>
      <c r="H12" s="6"/>
    </row>
    <row r="13" ht="31.5" customHeight="1">
      <c r="A13" s="6" t="s">
        <v>66</v>
      </c>
      <c r="B13" s="6" t="s">
        <v>67</v>
      </c>
      <c r="C13" s="6" t="s">
        <v>68</v>
      </c>
      <c r="D13" s="7" t="s">
        <v>70</v>
      </c>
      <c r="E13" s="7" t="s">
        <v>71</v>
      </c>
      <c r="F13" s="7" t="s">
        <v>25</v>
      </c>
      <c r="G13" s="6">
        <v>11.0</v>
      </c>
      <c r="H13" s="6"/>
    </row>
    <row r="14" ht="31.5" customHeight="1">
      <c r="A14" s="6" t="s">
        <v>74</v>
      </c>
      <c r="B14" s="6" t="s">
        <v>76</v>
      </c>
      <c r="C14" s="6" t="s">
        <v>77</v>
      </c>
      <c r="D14" s="7" t="s">
        <v>78</v>
      </c>
      <c r="E14" s="7" t="s">
        <v>79</v>
      </c>
      <c r="F14" s="7" t="s">
        <v>80</v>
      </c>
      <c r="G14" s="6">
        <v>5.0</v>
      </c>
      <c r="H14" s="8" t="s">
        <v>82</v>
      </c>
    </row>
    <row r="15">
      <c r="F15" s="12" t="s">
        <v>85</v>
      </c>
      <c r="G15" s="14">
        <f>SUM(G5:G14)</f>
        <v>91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fitToHeight="0"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2.0"/>
    <col customWidth="1" min="2" max="5" width="12.0"/>
    <col customWidth="1" min="6" max="6" width="14.0"/>
    <col customWidth="1" min="7" max="8" width="10.0"/>
    <col customWidth="1" min="9" max="27" width="8.71"/>
  </cols>
  <sheetData>
    <row r="1">
      <c r="C1" s="1" t="s">
        <v>212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>
      <c r="A3" s="37" t="s">
        <v>215</v>
      </c>
      <c r="B3" s="38">
        <v>46244.0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5">
      <c r="A5" s="5" t="s">
        <v>84</v>
      </c>
      <c r="B5" s="5" t="s">
        <v>221</v>
      </c>
      <c r="C5" s="5" t="s">
        <v>222</v>
      </c>
      <c r="D5" s="5" t="s">
        <v>223</v>
      </c>
      <c r="E5" s="5" t="s">
        <v>224</v>
      </c>
      <c r="F5" s="5" t="s">
        <v>47</v>
      </c>
      <c r="G5" s="5" t="s">
        <v>226</v>
      </c>
      <c r="H5" s="5" t="s">
        <v>228</v>
      </c>
    </row>
    <row r="6">
      <c r="A6" s="7" t="s">
        <v>168</v>
      </c>
      <c r="B6" s="6">
        <f t="shared" ref="B6:B56" si="1">(G6-1)*7</f>
        <v>0</v>
      </c>
      <c r="C6" s="6">
        <f t="shared" ref="C6:C56" si="2">(H6-G6)*7+6</f>
        <v>125</v>
      </c>
      <c r="D6" s="42">
        <f t="shared" ref="D6:D56" si="3">$B$3+B6</f>
        <v>46244</v>
      </c>
      <c r="E6" s="42">
        <f t="shared" ref="E6:E56" si="4">D6+C6-1</f>
        <v>46368</v>
      </c>
      <c r="F6" s="6" t="s">
        <v>170</v>
      </c>
      <c r="G6" s="6">
        <v>1.0</v>
      </c>
      <c r="H6" s="6">
        <v>18.0</v>
      </c>
    </row>
    <row r="7">
      <c r="A7" s="7" t="s">
        <v>172</v>
      </c>
      <c r="B7" s="6">
        <f t="shared" si="1"/>
        <v>28</v>
      </c>
      <c r="C7" s="6">
        <f t="shared" si="2"/>
        <v>69</v>
      </c>
      <c r="D7" s="42">
        <f t="shared" si="3"/>
        <v>46272</v>
      </c>
      <c r="E7" s="42">
        <f t="shared" si="4"/>
        <v>46340</v>
      </c>
      <c r="F7" s="6" t="s">
        <v>170</v>
      </c>
      <c r="G7" s="6">
        <v>5.0</v>
      </c>
      <c r="H7" s="6">
        <v>14.0</v>
      </c>
    </row>
    <row r="8">
      <c r="A8" s="7" t="s">
        <v>174</v>
      </c>
      <c r="B8" s="6">
        <f t="shared" si="1"/>
        <v>0</v>
      </c>
      <c r="C8" s="6">
        <f t="shared" si="2"/>
        <v>125</v>
      </c>
      <c r="D8" s="42">
        <f t="shared" si="3"/>
        <v>46244</v>
      </c>
      <c r="E8" s="42">
        <f t="shared" si="4"/>
        <v>46368</v>
      </c>
      <c r="F8" s="6" t="s">
        <v>170</v>
      </c>
      <c r="G8" s="6">
        <v>1.0</v>
      </c>
      <c r="H8" s="6">
        <v>18.0</v>
      </c>
    </row>
    <row r="9">
      <c r="A9" s="7" t="s">
        <v>176</v>
      </c>
      <c r="B9" s="6">
        <f t="shared" si="1"/>
        <v>0</v>
      </c>
      <c r="C9" s="6">
        <f t="shared" si="2"/>
        <v>125</v>
      </c>
      <c r="D9" s="42">
        <f t="shared" si="3"/>
        <v>46244</v>
      </c>
      <c r="E9" s="42">
        <f t="shared" si="4"/>
        <v>46368</v>
      </c>
      <c r="F9" s="6" t="s">
        <v>170</v>
      </c>
      <c r="G9" s="6">
        <v>1.0</v>
      </c>
      <c r="H9" s="6">
        <v>18.0</v>
      </c>
    </row>
    <row r="10">
      <c r="A10" s="7" t="s">
        <v>179</v>
      </c>
      <c r="B10" s="6">
        <f t="shared" si="1"/>
        <v>28</v>
      </c>
      <c r="C10" s="6">
        <f t="shared" si="2"/>
        <v>69</v>
      </c>
      <c r="D10" s="42">
        <f t="shared" si="3"/>
        <v>46272</v>
      </c>
      <c r="E10" s="42">
        <f t="shared" si="4"/>
        <v>46340</v>
      </c>
      <c r="F10" s="6" t="s">
        <v>170</v>
      </c>
      <c r="G10" s="6">
        <v>5.0</v>
      </c>
      <c r="H10" s="6">
        <v>14.0</v>
      </c>
    </row>
    <row r="11">
      <c r="A11" s="7" t="s">
        <v>181</v>
      </c>
      <c r="B11" s="6">
        <f t="shared" si="1"/>
        <v>28</v>
      </c>
      <c r="C11" s="6">
        <f t="shared" si="2"/>
        <v>69</v>
      </c>
      <c r="D11" s="42">
        <f t="shared" si="3"/>
        <v>46272</v>
      </c>
      <c r="E11" s="42">
        <f t="shared" si="4"/>
        <v>46340</v>
      </c>
      <c r="F11" s="6" t="s">
        <v>170</v>
      </c>
      <c r="G11" s="6">
        <v>5.0</v>
      </c>
      <c r="H11" s="6">
        <v>14.0</v>
      </c>
    </row>
    <row r="12">
      <c r="A12" s="7" t="s">
        <v>185</v>
      </c>
      <c r="B12" s="6">
        <f t="shared" si="1"/>
        <v>0</v>
      </c>
      <c r="C12" s="6">
        <f t="shared" si="2"/>
        <v>27</v>
      </c>
      <c r="D12" s="42">
        <f t="shared" si="3"/>
        <v>46244</v>
      </c>
      <c r="E12" s="42">
        <f t="shared" si="4"/>
        <v>46270</v>
      </c>
      <c r="F12" s="6" t="s">
        <v>186</v>
      </c>
      <c r="G12" s="6">
        <v>1.0</v>
      </c>
      <c r="H12" s="6">
        <v>4.0</v>
      </c>
    </row>
    <row r="13">
      <c r="A13" s="7" t="s">
        <v>189</v>
      </c>
      <c r="B13" s="6">
        <f t="shared" si="1"/>
        <v>7</v>
      </c>
      <c r="C13" s="6">
        <f t="shared" si="2"/>
        <v>20</v>
      </c>
      <c r="D13" s="42">
        <f t="shared" si="3"/>
        <v>46251</v>
      </c>
      <c r="E13" s="42">
        <f t="shared" si="4"/>
        <v>46270</v>
      </c>
      <c r="F13" s="6" t="s">
        <v>186</v>
      </c>
      <c r="G13" s="6">
        <v>2.0</v>
      </c>
      <c r="H13" s="6">
        <v>4.0</v>
      </c>
    </row>
    <row r="14">
      <c r="A14" s="7" t="s">
        <v>191</v>
      </c>
      <c r="B14" s="6">
        <f t="shared" si="1"/>
        <v>7</v>
      </c>
      <c r="C14" s="6">
        <f t="shared" si="2"/>
        <v>20</v>
      </c>
      <c r="D14" s="42">
        <f t="shared" si="3"/>
        <v>46251</v>
      </c>
      <c r="E14" s="42">
        <f t="shared" si="4"/>
        <v>46270</v>
      </c>
      <c r="F14" s="6" t="s">
        <v>186</v>
      </c>
      <c r="G14" s="6">
        <v>2.0</v>
      </c>
      <c r="H14" s="6">
        <v>4.0</v>
      </c>
    </row>
    <row r="15">
      <c r="A15" s="7" t="s">
        <v>193</v>
      </c>
      <c r="B15" s="6">
        <f t="shared" si="1"/>
        <v>7</v>
      </c>
      <c r="C15" s="6">
        <f t="shared" si="2"/>
        <v>20</v>
      </c>
      <c r="D15" s="42">
        <f t="shared" si="3"/>
        <v>46251</v>
      </c>
      <c r="E15" s="42">
        <f t="shared" si="4"/>
        <v>46270</v>
      </c>
      <c r="F15" s="6" t="s">
        <v>186</v>
      </c>
      <c r="G15" s="6">
        <v>2.0</v>
      </c>
      <c r="H15" s="6">
        <v>4.0</v>
      </c>
    </row>
    <row r="16">
      <c r="A16" s="7" t="s">
        <v>195</v>
      </c>
      <c r="B16" s="6">
        <f t="shared" si="1"/>
        <v>7</v>
      </c>
      <c r="C16" s="6">
        <f t="shared" si="2"/>
        <v>20</v>
      </c>
      <c r="D16" s="42">
        <f t="shared" si="3"/>
        <v>46251</v>
      </c>
      <c r="E16" s="42">
        <f t="shared" si="4"/>
        <v>46270</v>
      </c>
      <c r="F16" s="6" t="s">
        <v>186</v>
      </c>
      <c r="G16" s="6">
        <v>2.0</v>
      </c>
      <c r="H16" s="6">
        <v>4.0</v>
      </c>
    </row>
    <row r="17">
      <c r="A17" s="7" t="s">
        <v>197</v>
      </c>
      <c r="B17" s="6">
        <f t="shared" si="1"/>
        <v>7</v>
      </c>
      <c r="C17" s="6">
        <f t="shared" si="2"/>
        <v>20</v>
      </c>
      <c r="D17" s="42">
        <f t="shared" si="3"/>
        <v>46251</v>
      </c>
      <c r="E17" s="42">
        <f t="shared" si="4"/>
        <v>46270</v>
      </c>
      <c r="F17" s="6" t="s">
        <v>186</v>
      </c>
      <c r="G17" s="6">
        <v>2.0</v>
      </c>
      <c r="H17" s="6">
        <v>4.0</v>
      </c>
    </row>
    <row r="18">
      <c r="A18" s="7" t="s">
        <v>199</v>
      </c>
      <c r="B18" s="6">
        <f t="shared" si="1"/>
        <v>21</v>
      </c>
      <c r="C18" s="6">
        <f t="shared" si="2"/>
        <v>6</v>
      </c>
      <c r="D18" s="42">
        <f t="shared" si="3"/>
        <v>46265</v>
      </c>
      <c r="E18" s="42">
        <f t="shared" si="4"/>
        <v>46270</v>
      </c>
      <c r="F18" s="6" t="s">
        <v>186</v>
      </c>
      <c r="G18" s="6">
        <v>4.0</v>
      </c>
      <c r="H18" s="6">
        <v>4.0</v>
      </c>
    </row>
    <row r="19">
      <c r="A19" s="7" t="s">
        <v>201</v>
      </c>
      <c r="B19" s="6">
        <f t="shared" si="1"/>
        <v>7</v>
      </c>
      <c r="C19" s="6">
        <f t="shared" si="2"/>
        <v>20</v>
      </c>
      <c r="D19" s="42">
        <f t="shared" si="3"/>
        <v>46251</v>
      </c>
      <c r="E19" s="42">
        <f t="shared" si="4"/>
        <v>46270</v>
      </c>
      <c r="F19" s="6" t="s">
        <v>186</v>
      </c>
      <c r="G19" s="6">
        <v>2.0</v>
      </c>
      <c r="H19" s="6">
        <v>4.0</v>
      </c>
    </row>
    <row r="20">
      <c r="A20" s="7" t="s">
        <v>203</v>
      </c>
      <c r="B20" s="6">
        <f t="shared" si="1"/>
        <v>21</v>
      </c>
      <c r="C20" s="6">
        <f t="shared" si="2"/>
        <v>6</v>
      </c>
      <c r="D20" s="42">
        <f t="shared" si="3"/>
        <v>46265</v>
      </c>
      <c r="E20" s="42">
        <f t="shared" si="4"/>
        <v>46270</v>
      </c>
      <c r="F20" s="6" t="s">
        <v>186</v>
      </c>
      <c r="G20" s="6">
        <v>4.0</v>
      </c>
      <c r="H20" s="6">
        <v>4.0</v>
      </c>
    </row>
    <row r="21" ht="15.75" customHeight="1">
      <c r="A21" s="7" t="s">
        <v>205</v>
      </c>
      <c r="B21" s="6">
        <f t="shared" si="1"/>
        <v>7</v>
      </c>
      <c r="C21" s="6">
        <f t="shared" si="2"/>
        <v>20</v>
      </c>
      <c r="D21" s="42">
        <f t="shared" si="3"/>
        <v>46251</v>
      </c>
      <c r="E21" s="42">
        <f t="shared" si="4"/>
        <v>46270</v>
      </c>
      <c r="F21" s="6" t="s">
        <v>186</v>
      </c>
      <c r="G21" s="6">
        <v>2.0</v>
      </c>
      <c r="H21" s="6">
        <v>4.0</v>
      </c>
    </row>
    <row r="22" ht="15.75" customHeight="1">
      <c r="A22" s="7" t="s">
        <v>207</v>
      </c>
      <c r="B22" s="6">
        <f t="shared" si="1"/>
        <v>14</v>
      </c>
      <c r="C22" s="6">
        <f t="shared" si="2"/>
        <v>13</v>
      </c>
      <c r="D22" s="42">
        <f t="shared" si="3"/>
        <v>46258</v>
      </c>
      <c r="E22" s="42">
        <f t="shared" si="4"/>
        <v>46270</v>
      </c>
      <c r="F22" s="6" t="s">
        <v>186</v>
      </c>
      <c r="G22" s="6">
        <v>3.0</v>
      </c>
      <c r="H22" s="6">
        <v>4.0</v>
      </c>
    </row>
    <row r="23" ht="15.75" customHeight="1">
      <c r="A23" s="7" t="s">
        <v>209</v>
      </c>
      <c r="B23" s="6">
        <f t="shared" si="1"/>
        <v>0</v>
      </c>
      <c r="C23" s="6">
        <f t="shared" si="2"/>
        <v>27</v>
      </c>
      <c r="D23" s="42">
        <f t="shared" si="3"/>
        <v>46244</v>
      </c>
      <c r="E23" s="42">
        <f t="shared" si="4"/>
        <v>46270</v>
      </c>
      <c r="F23" s="6" t="s">
        <v>186</v>
      </c>
      <c r="G23" s="6">
        <v>1.0</v>
      </c>
      <c r="H23" s="6">
        <v>4.0</v>
      </c>
    </row>
    <row r="24" ht="15.75" customHeight="1">
      <c r="A24" s="7" t="s">
        <v>211</v>
      </c>
      <c r="B24" s="6">
        <f t="shared" si="1"/>
        <v>0</v>
      </c>
      <c r="C24" s="6">
        <f t="shared" si="2"/>
        <v>27</v>
      </c>
      <c r="D24" s="42">
        <f t="shared" si="3"/>
        <v>46244</v>
      </c>
      <c r="E24" s="42">
        <f t="shared" si="4"/>
        <v>46270</v>
      </c>
      <c r="F24" s="6" t="s">
        <v>186</v>
      </c>
      <c r="G24" s="6">
        <v>1.0</v>
      </c>
      <c r="H24" s="6">
        <v>4.0</v>
      </c>
    </row>
    <row r="25" ht="15.75" customHeight="1">
      <c r="A25" s="7" t="s">
        <v>96</v>
      </c>
      <c r="B25" s="6">
        <f t="shared" si="1"/>
        <v>28</v>
      </c>
      <c r="C25" s="6">
        <f t="shared" si="2"/>
        <v>6</v>
      </c>
      <c r="D25" s="42">
        <f t="shared" si="3"/>
        <v>46272</v>
      </c>
      <c r="E25" s="42">
        <f t="shared" si="4"/>
        <v>46277</v>
      </c>
      <c r="F25" s="6" t="s">
        <v>214</v>
      </c>
      <c r="G25" s="6">
        <v>5.0</v>
      </c>
      <c r="H25" s="6">
        <v>5.0</v>
      </c>
    </row>
    <row r="26" ht="15.75" customHeight="1">
      <c r="A26" s="7" t="s">
        <v>219</v>
      </c>
      <c r="B26" s="6">
        <f t="shared" si="1"/>
        <v>28</v>
      </c>
      <c r="C26" s="6">
        <f t="shared" si="2"/>
        <v>6</v>
      </c>
      <c r="D26" s="42">
        <f t="shared" si="3"/>
        <v>46272</v>
      </c>
      <c r="E26" s="42">
        <f t="shared" si="4"/>
        <v>46277</v>
      </c>
      <c r="F26" s="6" t="s">
        <v>220</v>
      </c>
      <c r="G26" s="6">
        <v>5.0</v>
      </c>
      <c r="H26" s="6">
        <v>5.0</v>
      </c>
    </row>
    <row r="27" ht="15.75" customHeight="1">
      <c r="A27" s="7" t="s">
        <v>227</v>
      </c>
      <c r="B27" s="6">
        <f t="shared" si="1"/>
        <v>35</v>
      </c>
      <c r="C27" s="6">
        <f t="shared" si="2"/>
        <v>6</v>
      </c>
      <c r="D27" s="42">
        <f t="shared" si="3"/>
        <v>46279</v>
      </c>
      <c r="E27" s="42">
        <f t="shared" si="4"/>
        <v>46284</v>
      </c>
      <c r="F27" s="6" t="s">
        <v>220</v>
      </c>
      <c r="G27" s="6">
        <v>6.0</v>
      </c>
      <c r="H27" s="6">
        <v>6.0</v>
      </c>
    </row>
    <row r="28" ht="15.75" customHeight="1">
      <c r="A28" s="7" t="s">
        <v>230</v>
      </c>
      <c r="B28" s="6">
        <f t="shared" si="1"/>
        <v>42</v>
      </c>
      <c r="C28" s="6">
        <f t="shared" si="2"/>
        <v>6</v>
      </c>
      <c r="D28" s="42">
        <f t="shared" si="3"/>
        <v>46286</v>
      </c>
      <c r="E28" s="42">
        <f t="shared" si="4"/>
        <v>46291</v>
      </c>
      <c r="F28" s="6" t="s">
        <v>220</v>
      </c>
      <c r="G28" s="6">
        <v>7.0</v>
      </c>
      <c r="H28" s="6">
        <v>7.0</v>
      </c>
    </row>
    <row r="29" ht="15.75" customHeight="1">
      <c r="A29" s="7" t="s">
        <v>231</v>
      </c>
      <c r="B29" s="6">
        <f t="shared" si="1"/>
        <v>42</v>
      </c>
      <c r="C29" s="6">
        <f t="shared" si="2"/>
        <v>6</v>
      </c>
      <c r="D29" s="42">
        <f t="shared" si="3"/>
        <v>46286</v>
      </c>
      <c r="E29" s="42">
        <f t="shared" si="4"/>
        <v>46291</v>
      </c>
      <c r="F29" s="6" t="s">
        <v>232</v>
      </c>
      <c r="G29" s="6">
        <v>7.0</v>
      </c>
      <c r="H29" s="6">
        <v>7.0</v>
      </c>
    </row>
    <row r="30" ht="15.75" customHeight="1">
      <c r="A30" s="7" t="s">
        <v>233</v>
      </c>
      <c r="B30" s="6">
        <f t="shared" si="1"/>
        <v>49</v>
      </c>
      <c r="C30" s="6">
        <f t="shared" si="2"/>
        <v>6</v>
      </c>
      <c r="D30" s="42">
        <f t="shared" si="3"/>
        <v>46293</v>
      </c>
      <c r="E30" s="42">
        <f t="shared" si="4"/>
        <v>46298</v>
      </c>
      <c r="F30" s="6" t="s">
        <v>234</v>
      </c>
      <c r="G30" s="6">
        <v>8.0</v>
      </c>
      <c r="H30" s="6">
        <v>8.0</v>
      </c>
    </row>
    <row r="31" ht="15.75" customHeight="1">
      <c r="A31" s="7" t="s">
        <v>236</v>
      </c>
      <c r="B31" s="6">
        <f t="shared" si="1"/>
        <v>49</v>
      </c>
      <c r="C31" s="6">
        <f t="shared" si="2"/>
        <v>6</v>
      </c>
      <c r="D31" s="42">
        <f t="shared" si="3"/>
        <v>46293</v>
      </c>
      <c r="E31" s="42">
        <f t="shared" si="4"/>
        <v>46298</v>
      </c>
      <c r="F31" s="6" t="s">
        <v>220</v>
      </c>
      <c r="G31" s="6">
        <v>8.0</v>
      </c>
      <c r="H31" s="6">
        <v>8.0</v>
      </c>
    </row>
    <row r="32" ht="15.75" customHeight="1">
      <c r="A32" s="7" t="s">
        <v>238</v>
      </c>
      <c r="B32" s="6">
        <f t="shared" si="1"/>
        <v>56</v>
      </c>
      <c r="C32" s="6">
        <f t="shared" si="2"/>
        <v>6</v>
      </c>
      <c r="D32" s="42">
        <f t="shared" si="3"/>
        <v>46300</v>
      </c>
      <c r="E32" s="42">
        <f t="shared" si="4"/>
        <v>46305</v>
      </c>
      <c r="F32" s="6" t="s">
        <v>220</v>
      </c>
      <c r="G32" s="6">
        <v>9.0</v>
      </c>
      <c r="H32" s="6">
        <v>9.0</v>
      </c>
    </row>
    <row r="33" ht="15.75" customHeight="1">
      <c r="A33" s="7" t="s">
        <v>240</v>
      </c>
      <c r="B33" s="6">
        <f t="shared" si="1"/>
        <v>63</v>
      </c>
      <c r="C33" s="6">
        <f t="shared" si="2"/>
        <v>6</v>
      </c>
      <c r="D33" s="42">
        <f t="shared" si="3"/>
        <v>46307</v>
      </c>
      <c r="E33" s="42">
        <f t="shared" si="4"/>
        <v>46312</v>
      </c>
      <c r="F33" s="6" t="s">
        <v>220</v>
      </c>
      <c r="G33" s="6">
        <v>10.0</v>
      </c>
      <c r="H33" s="6">
        <v>10.0</v>
      </c>
    </row>
    <row r="34" ht="15.75" customHeight="1">
      <c r="A34" s="7" t="s">
        <v>241</v>
      </c>
      <c r="B34" s="6">
        <f t="shared" si="1"/>
        <v>63</v>
      </c>
      <c r="C34" s="6">
        <f t="shared" si="2"/>
        <v>6</v>
      </c>
      <c r="D34" s="42">
        <f t="shared" si="3"/>
        <v>46307</v>
      </c>
      <c r="E34" s="42">
        <f t="shared" si="4"/>
        <v>46312</v>
      </c>
      <c r="F34" s="6" t="s">
        <v>232</v>
      </c>
      <c r="G34" s="6">
        <v>10.0</v>
      </c>
      <c r="H34" s="6">
        <v>10.0</v>
      </c>
    </row>
    <row r="35" ht="15.75" customHeight="1">
      <c r="A35" s="7" t="s">
        <v>309</v>
      </c>
      <c r="B35" s="6">
        <f t="shared" si="1"/>
        <v>70</v>
      </c>
      <c r="C35" s="6">
        <f t="shared" si="2"/>
        <v>6</v>
      </c>
      <c r="D35" s="42">
        <f t="shared" si="3"/>
        <v>46314</v>
      </c>
      <c r="E35" s="42">
        <f t="shared" si="4"/>
        <v>46319</v>
      </c>
      <c r="F35" s="6" t="s">
        <v>220</v>
      </c>
      <c r="G35" s="6">
        <v>11.0</v>
      </c>
      <c r="H35" s="6">
        <v>11.0</v>
      </c>
    </row>
    <row r="36" ht="15.75" customHeight="1">
      <c r="A36" s="7" t="s">
        <v>246</v>
      </c>
      <c r="B36" s="6">
        <f t="shared" si="1"/>
        <v>77</v>
      </c>
      <c r="C36" s="6">
        <f t="shared" si="2"/>
        <v>6</v>
      </c>
      <c r="D36" s="42">
        <f t="shared" si="3"/>
        <v>46321</v>
      </c>
      <c r="E36" s="42">
        <f t="shared" si="4"/>
        <v>46326</v>
      </c>
      <c r="F36" s="6" t="s">
        <v>220</v>
      </c>
      <c r="G36" s="6">
        <v>12.0</v>
      </c>
      <c r="H36" s="6">
        <v>12.0</v>
      </c>
    </row>
    <row r="37" ht="15.75" customHeight="1">
      <c r="A37" s="7" t="s">
        <v>248</v>
      </c>
      <c r="B37" s="6">
        <f t="shared" si="1"/>
        <v>77</v>
      </c>
      <c r="C37" s="6">
        <f t="shared" si="2"/>
        <v>6</v>
      </c>
      <c r="D37" s="42">
        <f t="shared" si="3"/>
        <v>46321</v>
      </c>
      <c r="E37" s="42">
        <f t="shared" si="4"/>
        <v>46326</v>
      </c>
      <c r="F37" s="6" t="s">
        <v>234</v>
      </c>
      <c r="G37" s="6">
        <v>12.0</v>
      </c>
      <c r="H37" s="6">
        <v>12.0</v>
      </c>
    </row>
    <row r="38" ht="15.75" customHeight="1">
      <c r="A38" s="7" t="s">
        <v>251</v>
      </c>
      <c r="B38" s="6">
        <f t="shared" si="1"/>
        <v>84</v>
      </c>
      <c r="C38" s="6">
        <f t="shared" si="2"/>
        <v>6</v>
      </c>
      <c r="D38" s="42">
        <f t="shared" si="3"/>
        <v>46328</v>
      </c>
      <c r="E38" s="42">
        <f t="shared" si="4"/>
        <v>46333</v>
      </c>
      <c r="F38" s="6" t="s">
        <v>220</v>
      </c>
      <c r="G38" s="6">
        <v>13.0</v>
      </c>
      <c r="H38" s="6">
        <v>13.0</v>
      </c>
    </row>
    <row r="39" ht="15.75" customHeight="1">
      <c r="A39" s="7" t="s">
        <v>256</v>
      </c>
      <c r="B39" s="6">
        <f t="shared" si="1"/>
        <v>91</v>
      </c>
      <c r="C39" s="6">
        <f t="shared" si="2"/>
        <v>6</v>
      </c>
      <c r="D39" s="42">
        <f t="shared" si="3"/>
        <v>46335</v>
      </c>
      <c r="E39" s="42">
        <f t="shared" si="4"/>
        <v>46340</v>
      </c>
      <c r="F39" s="6" t="s">
        <v>220</v>
      </c>
      <c r="G39" s="6">
        <v>14.0</v>
      </c>
      <c r="H39" s="6">
        <v>14.0</v>
      </c>
    </row>
    <row r="40" ht="15.75" customHeight="1">
      <c r="A40" s="7" t="s">
        <v>257</v>
      </c>
      <c r="B40" s="6">
        <f t="shared" si="1"/>
        <v>91</v>
      </c>
      <c r="C40" s="6">
        <f t="shared" si="2"/>
        <v>6</v>
      </c>
      <c r="D40" s="42">
        <f t="shared" si="3"/>
        <v>46335</v>
      </c>
      <c r="E40" s="42">
        <f t="shared" si="4"/>
        <v>46340</v>
      </c>
      <c r="F40" s="6" t="s">
        <v>232</v>
      </c>
      <c r="G40" s="6">
        <v>14.0</v>
      </c>
      <c r="H40" s="6">
        <v>14.0</v>
      </c>
    </row>
    <row r="41" ht="15.75" customHeight="1">
      <c r="A41" s="7" t="s">
        <v>265</v>
      </c>
      <c r="B41" s="6">
        <f t="shared" si="1"/>
        <v>35</v>
      </c>
      <c r="C41" s="6">
        <f t="shared" si="2"/>
        <v>62</v>
      </c>
      <c r="D41" s="42">
        <f t="shared" si="3"/>
        <v>46279</v>
      </c>
      <c r="E41" s="42">
        <f t="shared" si="4"/>
        <v>46340</v>
      </c>
      <c r="F41" s="6" t="s">
        <v>220</v>
      </c>
      <c r="G41" s="6">
        <v>6.0</v>
      </c>
      <c r="H41" s="6">
        <v>14.0</v>
      </c>
    </row>
    <row r="42" ht="15.75" customHeight="1">
      <c r="A42" s="7" t="s">
        <v>271</v>
      </c>
      <c r="B42" s="6">
        <f t="shared" si="1"/>
        <v>42</v>
      </c>
      <c r="C42" s="6">
        <f t="shared" si="2"/>
        <v>55</v>
      </c>
      <c r="D42" s="42">
        <f t="shared" si="3"/>
        <v>46286</v>
      </c>
      <c r="E42" s="42">
        <f t="shared" si="4"/>
        <v>46340</v>
      </c>
      <c r="F42" s="6" t="s">
        <v>220</v>
      </c>
      <c r="G42" s="6">
        <v>7.0</v>
      </c>
      <c r="H42" s="6">
        <v>14.0</v>
      </c>
    </row>
    <row r="43" ht="15.75" customHeight="1">
      <c r="A43" s="7" t="s">
        <v>273</v>
      </c>
      <c r="B43" s="6">
        <f t="shared" si="1"/>
        <v>42</v>
      </c>
      <c r="C43" s="6">
        <f t="shared" si="2"/>
        <v>6</v>
      </c>
      <c r="D43" s="42">
        <f t="shared" si="3"/>
        <v>46286</v>
      </c>
      <c r="E43" s="42">
        <f t="shared" si="4"/>
        <v>46291</v>
      </c>
      <c r="F43" s="6" t="s">
        <v>220</v>
      </c>
      <c r="G43" s="6">
        <v>7.0</v>
      </c>
      <c r="H43" s="6">
        <v>7.0</v>
      </c>
    </row>
    <row r="44" ht="15.75" customHeight="1">
      <c r="A44" s="7" t="s">
        <v>275</v>
      </c>
      <c r="B44" s="6">
        <f t="shared" si="1"/>
        <v>49</v>
      </c>
      <c r="C44" s="6">
        <f t="shared" si="2"/>
        <v>6</v>
      </c>
      <c r="D44" s="42">
        <f t="shared" si="3"/>
        <v>46293</v>
      </c>
      <c r="E44" s="42">
        <f t="shared" si="4"/>
        <v>46298</v>
      </c>
      <c r="F44" s="6" t="s">
        <v>220</v>
      </c>
      <c r="G44" s="6">
        <v>8.0</v>
      </c>
      <c r="H44" s="6">
        <v>8.0</v>
      </c>
    </row>
    <row r="45" ht="15.75" customHeight="1">
      <c r="A45" s="7" t="s">
        <v>277</v>
      </c>
      <c r="B45" s="6">
        <f t="shared" si="1"/>
        <v>49</v>
      </c>
      <c r="C45" s="6">
        <f t="shared" si="2"/>
        <v>6</v>
      </c>
      <c r="D45" s="42">
        <f t="shared" si="3"/>
        <v>46293</v>
      </c>
      <c r="E45" s="42">
        <f t="shared" si="4"/>
        <v>46298</v>
      </c>
      <c r="F45" s="6" t="s">
        <v>220</v>
      </c>
      <c r="G45" s="6">
        <v>8.0</v>
      </c>
      <c r="H45" s="6">
        <v>8.0</v>
      </c>
    </row>
    <row r="46" ht="15.75" customHeight="1">
      <c r="A46" s="7" t="s">
        <v>108</v>
      </c>
      <c r="B46" s="6">
        <f t="shared" si="1"/>
        <v>56</v>
      </c>
      <c r="C46" s="6">
        <f t="shared" si="2"/>
        <v>6</v>
      </c>
      <c r="D46" s="42">
        <f t="shared" si="3"/>
        <v>46300</v>
      </c>
      <c r="E46" s="42">
        <f t="shared" si="4"/>
        <v>46305</v>
      </c>
      <c r="F46" s="6" t="s">
        <v>214</v>
      </c>
      <c r="G46" s="6">
        <v>9.0</v>
      </c>
      <c r="H46" s="6">
        <v>9.0</v>
      </c>
    </row>
    <row r="47" ht="15.75" customHeight="1">
      <c r="A47" s="7" t="s">
        <v>111</v>
      </c>
      <c r="B47" s="6">
        <f t="shared" si="1"/>
        <v>63</v>
      </c>
      <c r="C47" s="6">
        <f t="shared" si="2"/>
        <v>6</v>
      </c>
      <c r="D47" s="42">
        <f t="shared" si="3"/>
        <v>46307</v>
      </c>
      <c r="E47" s="42">
        <f t="shared" si="4"/>
        <v>46312</v>
      </c>
      <c r="F47" s="6" t="s">
        <v>214</v>
      </c>
      <c r="G47" s="6">
        <v>10.0</v>
      </c>
      <c r="H47" s="6">
        <v>10.0</v>
      </c>
    </row>
    <row r="48" ht="15.75" customHeight="1">
      <c r="A48" s="7" t="s">
        <v>115</v>
      </c>
      <c r="B48" s="6">
        <f t="shared" si="1"/>
        <v>70</v>
      </c>
      <c r="C48" s="6">
        <f t="shared" si="2"/>
        <v>6</v>
      </c>
      <c r="D48" s="42">
        <f t="shared" si="3"/>
        <v>46314</v>
      </c>
      <c r="E48" s="42">
        <f t="shared" si="4"/>
        <v>46319</v>
      </c>
      <c r="F48" s="6" t="s">
        <v>214</v>
      </c>
      <c r="G48" s="6">
        <v>11.0</v>
      </c>
      <c r="H48" s="6">
        <v>11.0</v>
      </c>
    </row>
    <row r="49" ht="15.75" customHeight="1">
      <c r="A49" s="7" t="s">
        <v>281</v>
      </c>
      <c r="B49" s="6">
        <f t="shared" si="1"/>
        <v>84</v>
      </c>
      <c r="C49" s="6">
        <f t="shared" si="2"/>
        <v>6</v>
      </c>
      <c r="D49" s="42">
        <f t="shared" si="3"/>
        <v>46328</v>
      </c>
      <c r="E49" s="42">
        <f t="shared" si="4"/>
        <v>46333</v>
      </c>
      <c r="F49" s="6" t="s">
        <v>214</v>
      </c>
      <c r="G49" s="6">
        <v>13.0</v>
      </c>
      <c r="H49" s="6">
        <v>13.0</v>
      </c>
    </row>
    <row r="50" ht="15.75" customHeight="1">
      <c r="A50" s="7" t="s">
        <v>127</v>
      </c>
      <c r="B50" s="6">
        <f t="shared" si="1"/>
        <v>98</v>
      </c>
      <c r="C50" s="6">
        <f t="shared" si="2"/>
        <v>6</v>
      </c>
      <c r="D50" s="42">
        <f t="shared" si="3"/>
        <v>46342</v>
      </c>
      <c r="E50" s="42">
        <f t="shared" si="4"/>
        <v>46347</v>
      </c>
      <c r="F50" s="6" t="s">
        <v>214</v>
      </c>
      <c r="G50" s="6">
        <v>15.0</v>
      </c>
      <c r="H50" s="6">
        <v>15.0</v>
      </c>
    </row>
    <row r="51" ht="15.75" customHeight="1">
      <c r="A51" s="7" t="s">
        <v>283</v>
      </c>
      <c r="B51" s="6">
        <f t="shared" si="1"/>
        <v>98</v>
      </c>
      <c r="C51" s="6">
        <f t="shared" si="2"/>
        <v>13</v>
      </c>
      <c r="D51" s="42">
        <f t="shared" si="3"/>
        <v>46342</v>
      </c>
      <c r="E51" s="42">
        <f t="shared" si="4"/>
        <v>46354</v>
      </c>
      <c r="F51" s="6" t="s">
        <v>234</v>
      </c>
      <c r="G51" s="6">
        <v>15.0</v>
      </c>
      <c r="H51" s="6">
        <v>16.0</v>
      </c>
    </row>
    <row r="52" ht="15.75" customHeight="1">
      <c r="A52" s="7" t="s">
        <v>287</v>
      </c>
      <c r="B52" s="6">
        <f t="shared" si="1"/>
        <v>98</v>
      </c>
      <c r="C52" s="6">
        <f t="shared" si="2"/>
        <v>6</v>
      </c>
      <c r="D52" s="42">
        <f t="shared" si="3"/>
        <v>46342</v>
      </c>
      <c r="E52" s="42">
        <f t="shared" si="4"/>
        <v>46347</v>
      </c>
      <c r="F52" s="6" t="s">
        <v>288</v>
      </c>
      <c r="G52" s="6">
        <v>15.0</v>
      </c>
      <c r="H52" s="6">
        <v>15.0</v>
      </c>
    </row>
    <row r="53" ht="15.75" customHeight="1">
      <c r="A53" s="7" t="s">
        <v>290</v>
      </c>
      <c r="B53" s="6">
        <f t="shared" si="1"/>
        <v>105</v>
      </c>
      <c r="C53" s="6">
        <f t="shared" si="2"/>
        <v>6</v>
      </c>
      <c r="D53" s="42">
        <f t="shared" si="3"/>
        <v>46349</v>
      </c>
      <c r="E53" s="42">
        <f t="shared" si="4"/>
        <v>46354</v>
      </c>
      <c r="F53" s="6" t="s">
        <v>288</v>
      </c>
      <c r="G53" s="6">
        <v>16.0</v>
      </c>
      <c r="H53" s="6">
        <v>16.0</v>
      </c>
    </row>
    <row r="54" ht="15.75" customHeight="1">
      <c r="A54" s="7" t="s">
        <v>292</v>
      </c>
      <c r="B54" s="6">
        <f t="shared" si="1"/>
        <v>105</v>
      </c>
      <c r="C54" s="6">
        <f t="shared" si="2"/>
        <v>13</v>
      </c>
      <c r="D54" s="42">
        <f t="shared" si="3"/>
        <v>46349</v>
      </c>
      <c r="E54" s="42">
        <f t="shared" si="4"/>
        <v>46361</v>
      </c>
      <c r="F54" s="6" t="s">
        <v>288</v>
      </c>
      <c r="G54" s="6">
        <v>16.0</v>
      </c>
      <c r="H54" s="6">
        <v>17.0</v>
      </c>
    </row>
    <row r="55" ht="15.75" customHeight="1">
      <c r="A55" s="7" t="s">
        <v>139</v>
      </c>
      <c r="B55" s="6">
        <f t="shared" si="1"/>
        <v>112</v>
      </c>
      <c r="C55" s="6">
        <f t="shared" si="2"/>
        <v>6</v>
      </c>
      <c r="D55" s="42">
        <f t="shared" si="3"/>
        <v>46356</v>
      </c>
      <c r="E55" s="42">
        <f t="shared" si="4"/>
        <v>46361</v>
      </c>
      <c r="F55" s="6" t="s">
        <v>214</v>
      </c>
      <c r="G55" s="6">
        <v>17.0</v>
      </c>
      <c r="H55" s="6">
        <v>17.0</v>
      </c>
    </row>
    <row r="56" ht="15.75" customHeight="1">
      <c r="A56" s="7" t="s">
        <v>142</v>
      </c>
      <c r="B56" s="6">
        <f t="shared" si="1"/>
        <v>119</v>
      </c>
      <c r="C56" s="6">
        <f t="shared" si="2"/>
        <v>6</v>
      </c>
      <c r="D56" s="42">
        <f t="shared" si="3"/>
        <v>46363</v>
      </c>
      <c r="E56" s="42">
        <f t="shared" si="4"/>
        <v>46368</v>
      </c>
      <c r="F56" s="6" t="s">
        <v>214</v>
      </c>
      <c r="G56" s="6">
        <v>18.0</v>
      </c>
      <c r="H56" s="6">
        <v>18.0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fitToHeight="0"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2"/>
      <c r="C1" s="1" t="s">
        <v>247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>
      <c r="B2" s="2"/>
      <c r="C2" s="4" t="s">
        <v>249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fitToHeight="0"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4.0"/>
    <col customWidth="1" min="3" max="3" width="110.0"/>
    <col customWidth="1" min="4" max="26" width="8.71"/>
  </cols>
  <sheetData>
    <row r="1">
      <c r="C1" s="1" t="s">
        <v>245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>
      <c r="A3" s="5" t="s">
        <v>252</v>
      </c>
      <c r="B3" s="5" t="s">
        <v>253</v>
      </c>
      <c r="C3" s="43" t="s">
        <v>254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30.0" customHeight="1">
      <c r="A4" s="6" t="s">
        <v>258</v>
      </c>
      <c r="B4" s="6" t="s">
        <v>92</v>
      </c>
      <c r="C4" s="7" t="s">
        <v>259</v>
      </c>
    </row>
    <row r="5" ht="79.5" customHeight="1">
      <c r="A5" s="6" t="s">
        <v>260</v>
      </c>
      <c r="B5" s="6" t="s">
        <v>101</v>
      </c>
      <c r="C5" s="7" t="s">
        <v>261</v>
      </c>
    </row>
    <row r="6" ht="45.0" customHeight="1">
      <c r="A6" s="6" t="s">
        <v>262</v>
      </c>
      <c r="B6" s="6" t="s">
        <v>264</v>
      </c>
      <c r="C6" s="7" t="s">
        <v>266</v>
      </c>
    </row>
    <row r="7" ht="75.0" customHeight="1">
      <c r="A7" s="6" t="s">
        <v>267</v>
      </c>
      <c r="B7" s="6" t="s">
        <v>268</v>
      </c>
      <c r="C7" s="7" t="s">
        <v>269</v>
      </c>
    </row>
    <row r="8" ht="75.0" customHeight="1">
      <c r="A8" s="6" t="s">
        <v>306</v>
      </c>
      <c r="B8" s="6" t="s">
        <v>307</v>
      </c>
      <c r="C8" s="7" t="s">
        <v>308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fitToHeight="0"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2026-09-30T07:33:56Z</dcterms:created>
  <dc:creator>openpyxl</dc:creator>
</cp:coreProperties>
</file>